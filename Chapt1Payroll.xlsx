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reen\Desktop\GET A JOB\LearnExcel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1" l="1"/>
  <c r="Z3" i="1" s="1"/>
  <c r="AA3" i="1" s="1"/>
  <c r="AB3" i="1" s="1"/>
  <c r="T3" i="1"/>
  <c r="U3" i="1" s="1"/>
  <c r="V3" i="1" s="1"/>
  <c r="W3" i="1" s="1"/>
  <c r="P3" i="1"/>
  <c r="Q3" i="1" s="1"/>
  <c r="R3" i="1" s="1"/>
  <c r="O3" i="1"/>
  <c r="K3" i="1"/>
  <c r="L3" i="1" s="1"/>
  <c r="M3" i="1" s="1"/>
  <c r="J3" i="1"/>
  <c r="E4" i="1"/>
  <c r="J4" i="1" s="1"/>
  <c r="F4" i="1"/>
  <c r="K4" i="1" s="1"/>
  <c r="G4" i="1"/>
  <c r="L4" i="1" s="1"/>
  <c r="H4" i="1"/>
  <c r="M4" i="1" s="1"/>
  <c r="E5" i="1"/>
  <c r="J5" i="1" s="1"/>
  <c r="F5" i="1"/>
  <c r="K5" i="1" s="1"/>
  <c r="G5" i="1"/>
  <c r="L5" i="1" s="1"/>
  <c r="H5" i="1"/>
  <c r="M5" i="1" s="1"/>
  <c r="E6" i="1"/>
  <c r="J6" i="1" s="1"/>
  <c r="F6" i="1"/>
  <c r="K6" i="1" s="1"/>
  <c r="G6" i="1"/>
  <c r="L6" i="1" s="1"/>
  <c r="H6" i="1"/>
  <c r="M6" i="1" s="1"/>
  <c r="E7" i="1"/>
  <c r="J7" i="1" s="1"/>
  <c r="F7" i="1"/>
  <c r="K7" i="1" s="1"/>
  <c r="G7" i="1"/>
  <c r="L7" i="1" s="1"/>
  <c r="H7" i="1"/>
  <c r="M7" i="1" s="1"/>
  <c r="E8" i="1"/>
  <c r="J8" i="1" s="1"/>
  <c r="F8" i="1"/>
  <c r="K8" i="1" s="1"/>
  <c r="G8" i="1"/>
  <c r="L8" i="1" s="1"/>
  <c r="H8" i="1"/>
  <c r="M8" i="1" s="1"/>
  <c r="E9" i="1"/>
  <c r="J9" i="1" s="1"/>
  <c r="F9" i="1"/>
  <c r="K9" i="1" s="1"/>
  <c r="G9" i="1"/>
  <c r="L9" i="1" s="1"/>
  <c r="H9" i="1"/>
  <c r="M9" i="1" s="1"/>
  <c r="E10" i="1"/>
  <c r="J10" i="1" s="1"/>
  <c r="F10" i="1"/>
  <c r="K10" i="1" s="1"/>
  <c r="G10" i="1"/>
  <c r="L10" i="1" s="1"/>
  <c r="H10" i="1"/>
  <c r="M10" i="1" s="1"/>
  <c r="E11" i="1"/>
  <c r="J11" i="1" s="1"/>
  <c r="F11" i="1"/>
  <c r="K11" i="1" s="1"/>
  <c r="G11" i="1"/>
  <c r="L11" i="1" s="1"/>
  <c r="H11" i="1"/>
  <c r="M11" i="1" s="1"/>
  <c r="E12" i="1"/>
  <c r="J12" i="1" s="1"/>
  <c r="F12" i="1"/>
  <c r="K12" i="1" s="1"/>
  <c r="G12" i="1"/>
  <c r="L12" i="1" s="1"/>
  <c r="H12" i="1"/>
  <c r="M12" i="1" s="1"/>
  <c r="E13" i="1"/>
  <c r="J13" i="1" s="1"/>
  <c r="F13" i="1"/>
  <c r="K13" i="1" s="1"/>
  <c r="G13" i="1"/>
  <c r="L13" i="1" s="1"/>
  <c r="H13" i="1"/>
  <c r="M13" i="1" s="1"/>
  <c r="E14" i="1"/>
  <c r="J14" i="1" s="1"/>
  <c r="F14" i="1"/>
  <c r="K14" i="1" s="1"/>
  <c r="G14" i="1"/>
  <c r="L14" i="1" s="1"/>
  <c r="H14" i="1"/>
  <c r="M14" i="1" s="1"/>
  <c r="E15" i="1"/>
  <c r="J15" i="1" s="1"/>
  <c r="F15" i="1"/>
  <c r="K15" i="1" s="1"/>
  <c r="G15" i="1"/>
  <c r="L15" i="1" s="1"/>
  <c r="H15" i="1"/>
  <c r="M15" i="1" s="1"/>
  <c r="E16" i="1"/>
  <c r="J16" i="1" s="1"/>
  <c r="F16" i="1"/>
  <c r="K16" i="1" s="1"/>
  <c r="G16" i="1"/>
  <c r="L16" i="1" s="1"/>
  <c r="H16" i="1"/>
  <c r="M16" i="1" s="1"/>
  <c r="E17" i="1"/>
  <c r="J17" i="1" s="1"/>
  <c r="F17" i="1"/>
  <c r="K17" i="1" s="1"/>
  <c r="G17" i="1"/>
  <c r="L17" i="1" s="1"/>
  <c r="H17" i="1"/>
  <c r="M17" i="1" s="1"/>
  <c r="E18" i="1"/>
  <c r="J18" i="1" s="1"/>
  <c r="F18" i="1"/>
  <c r="K18" i="1" s="1"/>
  <c r="G18" i="1"/>
  <c r="L18" i="1" s="1"/>
  <c r="H18" i="1"/>
  <c r="M18" i="1" s="1"/>
  <c r="E19" i="1"/>
  <c r="J19" i="1" s="1"/>
  <c r="F19" i="1"/>
  <c r="K19" i="1" s="1"/>
  <c r="G19" i="1"/>
  <c r="L19" i="1" s="1"/>
  <c r="H19" i="1"/>
  <c r="M19" i="1" s="1"/>
  <c r="E20" i="1"/>
  <c r="J20" i="1" s="1"/>
  <c r="F20" i="1"/>
  <c r="K20" i="1" s="1"/>
  <c r="G20" i="1"/>
  <c r="L20" i="1" s="1"/>
  <c r="H20" i="1"/>
  <c r="M20" i="1" s="1"/>
  <c r="F3" i="1"/>
  <c r="G3" i="1" s="1"/>
  <c r="H3" i="1" s="1"/>
  <c r="E3" i="1"/>
  <c r="J25" i="1" l="1"/>
  <c r="M23" i="1"/>
  <c r="L24" i="1"/>
  <c r="G24" i="1"/>
  <c r="K25" i="1"/>
  <c r="M26" i="1"/>
  <c r="L23" i="1"/>
  <c r="J26" i="1"/>
  <c r="E26" i="1"/>
  <c r="H23" i="1"/>
  <c r="K24" i="1"/>
  <c r="L26" i="1"/>
  <c r="H26" i="1"/>
  <c r="M25" i="1"/>
  <c r="E25" i="1"/>
  <c r="J24" i="1"/>
  <c r="F24" i="1"/>
  <c r="K23" i="1"/>
  <c r="G23" i="1"/>
  <c r="K26" i="1"/>
  <c r="G26" i="1"/>
  <c r="L25" i="1"/>
  <c r="H25" i="1"/>
  <c r="M24" i="1"/>
  <c r="E24" i="1"/>
  <c r="J23" i="1"/>
  <c r="F23" i="1"/>
  <c r="F25" i="1"/>
  <c r="F26" i="1"/>
  <c r="G25" i="1"/>
  <c r="H24" i="1"/>
  <c r="E2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4" i="1"/>
  <c r="C5" i="1"/>
  <c r="W5" i="1" s="1"/>
  <c r="C6" i="1"/>
  <c r="W6" i="1" s="1"/>
  <c r="C7" i="1"/>
  <c r="W7" i="1" s="1"/>
  <c r="C8" i="1"/>
  <c r="W8" i="1" s="1"/>
  <c r="C9" i="1"/>
  <c r="W9" i="1" s="1"/>
  <c r="C10" i="1"/>
  <c r="W10" i="1" s="1"/>
  <c r="C11" i="1"/>
  <c r="W11" i="1" s="1"/>
  <c r="C12" i="1"/>
  <c r="W12" i="1" s="1"/>
  <c r="C13" i="1"/>
  <c r="W13" i="1" s="1"/>
  <c r="C14" i="1"/>
  <c r="W14" i="1" s="1"/>
  <c r="C15" i="1"/>
  <c r="W15" i="1" s="1"/>
  <c r="C16" i="1"/>
  <c r="W16" i="1" s="1"/>
  <c r="C17" i="1"/>
  <c r="W17" i="1" s="1"/>
  <c r="C18" i="1"/>
  <c r="W18" i="1" s="1"/>
  <c r="C19" i="1"/>
  <c r="W19" i="1" s="1"/>
  <c r="C20" i="1"/>
  <c r="W20" i="1" s="1"/>
  <c r="C4" i="1"/>
  <c r="W4" i="1" s="1"/>
  <c r="W25" i="1" l="1"/>
  <c r="W24" i="1"/>
  <c r="W23" i="1"/>
  <c r="W26" i="1"/>
  <c r="U9" i="1"/>
  <c r="T4" i="1"/>
  <c r="T11" i="1"/>
  <c r="T19" i="1"/>
  <c r="V4" i="1"/>
  <c r="T5" i="1"/>
  <c r="T13" i="1"/>
  <c r="U6" i="1"/>
  <c r="V14" i="1"/>
  <c r="V5" i="1"/>
  <c r="T7" i="1"/>
  <c r="T15" i="1"/>
  <c r="U10" i="1"/>
  <c r="V19" i="1"/>
  <c r="V6" i="1"/>
  <c r="T9" i="1"/>
  <c r="T17" i="1"/>
  <c r="U17" i="1"/>
  <c r="U4" i="1"/>
  <c r="V13" i="1"/>
  <c r="U13" i="1"/>
  <c r="U19" i="1"/>
  <c r="V9" i="1"/>
  <c r="V16" i="1"/>
  <c r="U5" i="1"/>
  <c r="U15" i="1"/>
  <c r="V8" i="1"/>
  <c r="V17" i="1"/>
  <c r="U16" i="1"/>
  <c r="V12" i="1"/>
  <c r="T8" i="1"/>
  <c r="T12" i="1"/>
  <c r="T16" i="1"/>
  <c r="T20" i="1"/>
  <c r="U11" i="1"/>
  <c r="V7" i="1"/>
  <c r="U12" i="1"/>
  <c r="V15" i="1"/>
  <c r="T6" i="1"/>
  <c r="T10" i="1"/>
  <c r="T14" i="1"/>
  <c r="T18" i="1"/>
  <c r="U8" i="1"/>
  <c r="U14" i="1"/>
  <c r="U20" i="1"/>
  <c r="V10" i="1"/>
  <c r="V18" i="1"/>
  <c r="U7" i="1"/>
  <c r="U18" i="1"/>
  <c r="V11" i="1"/>
  <c r="V20" i="1"/>
  <c r="N19" i="1"/>
  <c r="O19" i="1"/>
  <c r="P19" i="1"/>
  <c r="Z19" i="1" s="1"/>
  <c r="Q19" i="1"/>
  <c r="R19" i="1"/>
  <c r="AB19" i="1" s="1"/>
  <c r="N7" i="1"/>
  <c r="O7" i="1"/>
  <c r="P7" i="1"/>
  <c r="R7" i="1"/>
  <c r="AB7" i="1" s="1"/>
  <c r="Q7" i="1"/>
  <c r="N18" i="1"/>
  <c r="O18" i="1"/>
  <c r="P18" i="1"/>
  <c r="R18" i="1"/>
  <c r="AB18" i="1" s="1"/>
  <c r="Q18" i="1"/>
  <c r="N10" i="1"/>
  <c r="O10" i="1"/>
  <c r="Y10" i="1" s="1"/>
  <c r="P10" i="1"/>
  <c r="Z10" i="1" s="1"/>
  <c r="Q10" i="1"/>
  <c r="AA10" i="1" s="1"/>
  <c r="R10" i="1"/>
  <c r="AB10" i="1" s="1"/>
  <c r="N6" i="1"/>
  <c r="O6" i="1"/>
  <c r="R6" i="1"/>
  <c r="AB6" i="1" s="1"/>
  <c r="P6" i="1"/>
  <c r="Q6" i="1"/>
  <c r="N15" i="1"/>
  <c r="O15" i="1"/>
  <c r="P15" i="1"/>
  <c r="Q15" i="1"/>
  <c r="R15" i="1"/>
  <c r="AB15" i="1" s="1"/>
  <c r="N14" i="1"/>
  <c r="O14" i="1"/>
  <c r="R14" i="1"/>
  <c r="AB14" i="1" s="1"/>
  <c r="P14" i="1"/>
  <c r="Q14" i="1"/>
  <c r="AA14" i="1" s="1"/>
  <c r="N4" i="1"/>
  <c r="O4" i="1"/>
  <c r="P4" i="1"/>
  <c r="Q4" i="1"/>
  <c r="R4" i="1"/>
  <c r="N17" i="1"/>
  <c r="O17" i="1"/>
  <c r="Y17" i="1" s="1"/>
  <c r="R17" i="1"/>
  <c r="AB17" i="1" s="1"/>
  <c r="P17" i="1"/>
  <c r="Q17" i="1"/>
  <c r="AA17" i="1" s="1"/>
  <c r="N13" i="1"/>
  <c r="O13" i="1"/>
  <c r="P13" i="1"/>
  <c r="R13" i="1"/>
  <c r="AB13" i="1" s="1"/>
  <c r="Q13" i="1"/>
  <c r="N9" i="1"/>
  <c r="O9" i="1"/>
  <c r="P9" i="1"/>
  <c r="R9" i="1"/>
  <c r="AB9" i="1" s="1"/>
  <c r="Q9" i="1"/>
  <c r="N5" i="1"/>
  <c r="O5" i="1"/>
  <c r="P5" i="1"/>
  <c r="Z5" i="1" s="1"/>
  <c r="R5" i="1"/>
  <c r="AB5" i="1" s="1"/>
  <c r="Q5" i="1"/>
  <c r="N11" i="1"/>
  <c r="O11" i="1"/>
  <c r="P11" i="1"/>
  <c r="R11" i="1"/>
  <c r="AB11" i="1" s="1"/>
  <c r="Q11" i="1"/>
  <c r="O20" i="1"/>
  <c r="P20" i="1"/>
  <c r="Z20" i="1" s="1"/>
  <c r="R20" i="1"/>
  <c r="AB20" i="1" s="1"/>
  <c r="Q20" i="1"/>
  <c r="O16" i="1"/>
  <c r="Y16" i="1" s="1"/>
  <c r="P16" i="1"/>
  <c r="Z16" i="1" s="1"/>
  <c r="R16" i="1"/>
  <c r="AB16" i="1" s="1"/>
  <c r="Q16" i="1"/>
  <c r="AA16" i="1" s="1"/>
  <c r="O12" i="1"/>
  <c r="P12" i="1"/>
  <c r="Z12" i="1" s="1"/>
  <c r="Q12" i="1"/>
  <c r="R12" i="1"/>
  <c r="AB12" i="1" s="1"/>
  <c r="O8" i="1"/>
  <c r="P8" i="1"/>
  <c r="Q8" i="1"/>
  <c r="AA8" i="1" s="1"/>
  <c r="R8" i="1"/>
  <c r="AB8" i="1" s="1"/>
  <c r="N20" i="1"/>
  <c r="N16" i="1"/>
  <c r="N12" i="1"/>
  <c r="N8" i="1"/>
  <c r="I4" i="1"/>
  <c r="I9" i="1"/>
  <c r="S9" i="1" s="1"/>
  <c r="I20" i="1"/>
  <c r="S20" i="1" s="1"/>
  <c r="I16" i="1"/>
  <c r="S16" i="1" s="1"/>
  <c r="I12" i="1"/>
  <c r="S12" i="1" s="1"/>
  <c r="I8" i="1"/>
  <c r="S8" i="1" s="1"/>
  <c r="I17" i="1"/>
  <c r="S17" i="1" s="1"/>
  <c r="I5" i="1"/>
  <c r="S5" i="1" s="1"/>
  <c r="I19" i="1"/>
  <c r="S19" i="1" s="1"/>
  <c r="I15" i="1"/>
  <c r="S15" i="1" s="1"/>
  <c r="I11" i="1"/>
  <c r="S11" i="1" s="1"/>
  <c r="I7" i="1"/>
  <c r="S7" i="1" s="1"/>
  <c r="I13" i="1"/>
  <c r="S13" i="1" s="1"/>
  <c r="I18" i="1"/>
  <c r="S18" i="1" s="1"/>
  <c r="I14" i="1"/>
  <c r="S14" i="1" s="1"/>
  <c r="I10" i="1"/>
  <c r="S10" i="1" s="1"/>
  <c r="I6" i="1"/>
  <c r="S6" i="1" s="1"/>
  <c r="D26" i="1"/>
  <c r="D25" i="1"/>
  <c r="C25" i="1"/>
  <c r="C26" i="1"/>
  <c r="D24" i="1"/>
  <c r="C23" i="1"/>
  <c r="D23" i="1"/>
  <c r="C24" i="1"/>
  <c r="AA12" i="1" l="1"/>
  <c r="AA5" i="1"/>
  <c r="Z13" i="1"/>
  <c r="Z17" i="1"/>
  <c r="Y14" i="1"/>
  <c r="Z15" i="1"/>
  <c r="Y18" i="1"/>
  <c r="AA19" i="1"/>
  <c r="U23" i="1"/>
  <c r="U24" i="1"/>
  <c r="U25" i="1"/>
  <c r="U26" i="1"/>
  <c r="T23" i="1"/>
  <c r="T24" i="1"/>
  <c r="T25" i="1"/>
  <c r="T26" i="1"/>
  <c r="V23" i="1"/>
  <c r="V24" i="1"/>
  <c r="V25" i="1"/>
  <c r="V26" i="1"/>
  <c r="O23" i="1"/>
  <c r="O24" i="1"/>
  <c r="O25" i="1"/>
  <c r="O26" i="1"/>
  <c r="AB4" i="1"/>
  <c r="R24" i="1"/>
  <c r="R25" i="1"/>
  <c r="R23" i="1"/>
  <c r="R26" i="1"/>
  <c r="AA4" i="1"/>
  <c r="Q23" i="1"/>
  <c r="Q24" i="1"/>
  <c r="Q25" i="1"/>
  <c r="Q26" i="1"/>
  <c r="P23" i="1"/>
  <c r="P24" i="1"/>
  <c r="P25" i="1"/>
  <c r="P26" i="1"/>
  <c r="S4" i="1"/>
  <c r="S23" i="1" s="1"/>
  <c r="I23" i="1"/>
  <c r="I26" i="1"/>
  <c r="I24" i="1"/>
  <c r="I25" i="1"/>
  <c r="Z8" i="1"/>
  <c r="Z11" i="1"/>
  <c r="AA9" i="1"/>
  <c r="Y13" i="1"/>
  <c r="AA18" i="1"/>
  <c r="Y7" i="1"/>
  <c r="Y8" i="1"/>
  <c r="Y20" i="1"/>
  <c r="Y11" i="1"/>
  <c r="Z4" i="1"/>
  <c r="Y6" i="1"/>
  <c r="AA20" i="1"/>
  <c r="AA11" i="1"/>
  <c r="Y5" i="1"/>
  <c r="Z9" i="1"/>
  <c r="Y4" i="1"/>
  <c r="AA15" i="1"/>
  <c r="AA6" i="1"/>
  <c r="Z18" i="1"/>
  <c r="Y9" i="1"/>
  <c r="Z6" i="1"/>
  <c r="Z7" i="1"/>
  <c r="Y15" i="1"/>
  <c r="Y12" i="1"/>
  <c r="AA13" i="1"/>
  <c r="Z14" i="1"/>
  <c r="AA7" i="1"/>
  <c r="Y19" i="1"/>
  <c r="X16" i="1"/>
  <c r="AD16" i="1" s="1"/>
  <c r="X5" i="1"/>
  <c r="X7" i="1"/>
  <c r="X20" i="1"/>
  <c r="AD20" i="1" s="1"/>
  <c r="X12" i="1"/>
  <c r="X6" i="1"/>
  <c r="X8" i="1"/>
  <c r="X17" i="1"/>
  <c r="X18" i="1"/>
  <c r="X11" i="1"/>
  <c r="X13" i="1"/>
  <c r="X14" i="1"/>
  <c r="X19" i="1"/>
  <c r="X15" i="1"/>
  <c r="X9" i="1"/>
  <c r="X10" i="1"/>
  <c r="AD10" i="1" s="1"/>
  <c r="N26" i="1"/>
  <c r="N25" i="1"/>
  <c r="N24" i="1"/>
  <c r="N23" i="1"/>
  <c r="AD19" i="1" l="1"/>
  <c r="X4" i="1"/>
  <c r="X25" i="1" s="1"/>
  <c r="S26" i="1"/>
  <c r="S24" i="1"/>
  <c r="AD5" i="1"/>
  <c r="AD18" i="1"/>
  <c r="AD12" i="1"/>
  <c r="AD17" i="1"/>
  <c r="Y23" i="1"/>
  <c r="Y24" i="1"/>
  <c r="Y25" i="1"/>
  <c r="Y26" i="1"/>
  <c r="AA23" i="1"/>
  <c r="AA24" i="1"/>
  <c r="AA25" i="1"/>
  <c r="AA26" i="1"/>
  <c r="Z23" i="1"/>
  <c r="Z24" i="1"/>
  <c r="Z25" i="1"/>
  <c r="Z26" i="1"/>
  <c r="AB23" i="1"/>
  <c r="AB24" i="1"/>
  <c r="AB25" i="1"/>
  <c r="AB26" i="1"/>
  <c r="S25" i="1"/>
  <c r="AD15" i="1"/>
  <c r="AD11" i="1"/>
  <c r="AD6" i="1"/>
  <c r="AD14" i="1"/>
  <c r="AD9" i="1"/>
  <c r="AD13" i="1"/>
  <c r="AD8" i="1"/>
  <c r="AD7" i="1"/>
  <c r="AD4" i="1"/>
  <c r="X26" i="1" l="1"/>
  <c r="X23" i="1"/>
  <c r="X24" i="1"/>
  <c r="AD26" i="1"/>
  <c r="AD25" i="1"/>
  <c r="AD24" i="1"/>
  <c r="AD23" i="1"/>
</calcChain>
</file>

<file path=xl/sharedStrings.xml><?xml version="1.0" encoding="utf-8"?>
<sst xmlns="http://schemas.openxmlformats.org/spreadsheetml/2006/main" count="49" uniqueCount="49">
  <si>
    <t xml:space="preserve">Employee Payroll </t>
  </si>
  <si>
    <t>Last Name</t>
  </si>
  <si>
    <t xml:space="preserve">First Name </t>
  </si>
  <si>
    <t xml:space="preserve">Hourly Wage </t>
  </si>
  <si>
    <t>Kern</t>
  </si>
  <si>
    <t xml:space="preserve"> Jon</t>
  </si>
  <si>
    <t>Howard</t>
  </si>
  <si>
    <t xml:space="preserve"> Glenda</t>
  </si>
  <si>
    <t>O'Donnald</t>
  </si>
  <si>
    <t xml:space="preserve"> Ron</t>
  </si>
  <si>
    <t>Hernandez</t>
  </si>
  <si>
    <t xml:space="preserve"> Wendy</t>
  </si>
  <si>
    <t>Smith</t>
  </si>
  <si>
    <t xml:space="preserve"> Paul</t>
  </si>
  <si>
    <t>Baker</t>
  </si>
  <si>
    <t xml:space="preserve"> Tom</t>
  </si>
  <si>
    <t>Velinda</t>
  </si>
  <si>
    <t xml:space="preserve"> Nancy</t>
  </si>
  <si>
    <t>Carnehan</t>
  </si>
  <si>
    <t xml:space="preserve"> Karen</t>
  </si>
  <si>
    <t>Westerfield</t>
  </si>
  <si>
    <t xml:space="preserve"> Dennis</t>
  </si>
  <si>
    <t>Penfold</t>
  </si>
  <si>
    <t xml:space="preserve"> Sandy</t>
  </si>
  <si>
    <t>Islington</t>
  </si>
  <si>
    <t xml:space="preserve"> Linda</t>
  </si>
  <si>
    <t>Young</t>
  </si>
  <si>
    <t xml:space="preserve"> Olivia</t>
  </si>
  <si>
    <t>Trenton</t>
  </si>
  <si>
    <t xml:space="preserve"> Blessing</t>
  </si>
  <si>
    <t>Engleheart</t>
  </si>
  <si>
    <t xml:space="preserve"> Chandra</t>
  </si>
  <si>
    <t>Norman</t>
  </si>
  <si>
    <t xml:space="preserve"> Bill</t>
  </si>
  <si>
    <t>Mann</t>
  </si>
  <si>
    <t xml:space="preserve"> Trent</t>
  </si>
  <si>
    <t>Underhill</t>
  </si>
  <si>
    <t xml:space="preserve"> Genesis</t>
  </si>
  <si>
    <t>Hours Worked</t>
  </si>
  <si>
    <t>Max</t>
  </si>
  <si>
    <t>Min</t>
  </si>
  <si>
    <t xml:space="preserve">Average </t>
  </si>
  <si>
    <t xml:space="preserve">Total </t>
  </si>
  <si>
    <t>Mr. Pranpriya</t>
  </si>
  <si>
    <t>Pay</t>
  </si>
  <si>
    <t xml:space="preserve">Overtime </t>
  </si>
  <si>
    <t>OverTime Bonus</t>
  </si>
  <si>
    <t>Total</t>
  </si>
  <si>
    <t>Jan-Pay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</si>
</sst>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44" fontId="0" fillId="0" borderId="0" xfId="0" applyNumberFormat="1"/>
    <xf numFmtId="2" fontId="0" fillId="0" borderId="0" xfId="0" applyNumberFormat="1"/>
    <xf numFmtId="16" fontId="0" fillId="2" borderId="0" xfId="0" applyNumberFormat="1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0" fontId="0" fillId="4" borderId="0" xfId="0" applyFill="1"/>
    <xf numFmtId="44" fontId="0" fillId="2" borderId="0" xfId="0" applyNumberFormat="1" applyFill="1"/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6"/>
  <sheetViews>
    <sheetView tabSelected="1" zoomScale="50" zoomScaleNormal="50" workbookViewId="0">
      <selection activeCell="S34" sqref="S34"/>
    </sheetView>
  </sheetViews>
  <sheetFormatPr defaultRowHeight="15" x14ac:dyDescent="0.25"/>
  <cols>
    <col min="1" max="1" width="10.140625" customWidth="1"/>
    <col min="2" max="2" width="11" bestFit="1" customWidth="1"/>
    <col min="3" max="3" width="12.7109375" bestFit="1" customWidth="1"/>
    <col min="4" max="4" width="13.7109375" bestFit="1" customWidth="1"/>
    <col min="5" max="13" width="13.7109375" customWidth="1"/>
    <col min="14" max="18" width="12.85546875" bestFit="1" customWidth="1"/>
    <col min="19" max="19" width="17.140625" bestFit="1" customWidth="1"/>
    <col min="20" max="20" width="8.85546875" bestFit="1" customWidth="1"/>
    <col min="21" max="21" width="10.140625" bestFit="1" customWidth="1"/>
    <col min="22" max="23" width="9.28515625" bestFit="1" customWidth="1"/>
    <col min="24" max="24" width="13.140625" bestFit="1" customWidth="1"/>
    <col min="25" max="28" width="12.85546875" bestFit="1" customWidth="1"/>
    <col min="30" max="30" width="13.5703125" bestFit="1" customWidth="1"/>
  </cols>
  <sheetData>
    <row r="1" spans="1:30" x14ac:dyDescent="0.25">
      <c r="A1" s="14" t="s">
        <v>0</v>
      </c>
      <c r="B1" s="14"/>
      <c r="D1" t="s">
        <v>43</v>
      </c>
    </row>
    <row r="2" spans="1:30" x14ac:dyDescent="0.25">
      <c r="D2" t="s">
        <v>38</v>
      </c>
      <c r="I2" t="s">
        <v>45</v>
      </c>
      <c r="N2" t="s">
        <v>44</v>
      </c>
      <c r="S2" t="s">
        <v>46</v>
      </c>
      <c r="X2" t="s">
        <v>47</v>
      </c>
      <c r="AD2" t="s">
        <v>48</v>
      </c>
    </row>
    <row r="3" spans="1:30" x14ac:dyDescent="0.25">
      <c r="A3" t="s">
        <v>1</v>
      </c>
      <c r="B3" t="s">
        <v>2</v>
      </c>
      <c r="C3" t="s">
        <v>3</v>
      </c>
      <c r="D3" s="5">
        <v>46023</v>
      </c>
      <c r="E3" s="5">
        <f>D3+7</f>
        <v>46030</v>
      </c>
      <c r="F3" s="5">
        <f t="shared" ref="F3:H3" si="0">E3+7</f>
        <v>46037</v>
      </c>
      <c r="G3" s="5">
        <f t="shared" si="0"/>
        <v>46044</v>
      </c>
      <c r="H3" s="5">
        <f t="shared" si="0"/>
        <v>46051</v>
      </c>
      <c r="I3" s="7">
        <v>46023</v>
      </c>
      <c r="J3" s="7">
        <f>I3+7</f>
        <v>46030</v>
      </c>
      <c r="K3" s="7">
        <f t="shared" ref="K3:M3" si="1">J3+7</f>
        <v>46037</v>
      </c>
      <c r="L3" s="7">
        <f t="shared" si="1"/>
        <v>46044</v>
      </c>
      <c r="M3" s="7">
        <f t="shared" si="1"/>
        <v>46051</v>
      </c>
      <c r="N3" s="10">
        <v>46023</v>
      </c>
      <c r="O3" s="10">
        <f>N3+7</f>
        <v>46030</v>
      </c>
      <c r="P3" s="10">
        <f t="shared" ref="P3:R3" si="2">O3+7</f>
        <v>46037</v>
      </c>
      <c r="Q3" s="10">
        <f t="shared" si="2"/>
        <v>46044</v>
      </c>
      <c r="R3" s="10">
        <f t="shared" si="2"/>
        <v>46051</v>
      </c>
      <c r="S3" s="12">
        <v>46023</v>
      </c>
      <c r="T3" s="12">
        <f>S3+7</f>
        <v>46030</v>
      </c>
      <c r="U3" s="12">
        <f t="shared" ref="U3:W3" si="3">T3+7</f>
        <v>46037</v>
      </c>
      <c r="V3" s="12">
        <f t="shared" si="3"/>
        <v>46044</v>
      </c>
      <c r="W3" s="12">
        <f t="shared" si="3"/>
        <v>46051</v>
      </c>
      <c r="X3" s="4">
        <v>46023</v>
      </c>
      <c r="Y3" s="4">
        <f>X3+7</f>
        <v>46030</v>
      </c>
      <c r="Z3" s="4">
        <f t="shared" ref="Z3:AB3" si="4">Y3+7</f>
        <v>46037</v>
      </c>
      <c r="AA3" s="4">
        <f t="shared" si="4"/>
        <v>46044</v>
      </c>
      <c r="AB3" s="4">
        <f t="shared" si="4"/>
        <v>46051</v>
      </c>
    </row>
    <row r="4" spans="1:30" x14ac:dyDescent="0.25">
      <c r="A4" t="s">
        <v>4</v>
      </c>
      <c r="B4" t="s">
        <v>5</v>
      </c>
      <c r="C4" s="1">
        <f ca="1">RANDBETWEEN(14, 20)</f>
        <v>15</v>
      </c>
      <c r="D4" s="6">
        <f ca="1">RANDBETWEEN(39, 42)</f>
        <v>40</v>
      </c>
      <c r="E4" s="6">
        <f t="shared" ref="E4:H4" ca="1" si="5">RANDBETWEEN(39, 42)</f>
        <v>39</v>
      </c>
      <c r="F4" s="6">
        <f t="shared" ca="1" si="5"/>
        <v>40</v>
      </c>
      <c r="G4" s="6">
        <f t="shared" ca="1" si="5"/>
        <v>41</v>
      </c>
      <c r="H4" s="6">
        <f t="shared" ca="1" si="5"/>
        <v>40</v>
      </c>
      <c r="I4" s="8">
        <f ca="1">IF(D4&gt;40, D4 - 40, 0)</f>
        <v>0</v>
      </c>
      <c r="J4" s="8">
        <f t="shared" ref="J4:M19" ca="1" si="6">IF(E4&gt;40, E4 - 40, 0)</f>
        <v>0</v>
      </c>
      <c r="K4" s="8">
        <f t="shared" ca="1" si="6"/>
        <v>0</v>
      </c>
      <c r="L4" s="8">
        <f t="shared" ca="1" si="6"/>
        <v>1</v>
      </c>
      <c r="M4" s="8">
        <f t="shared" ca="1" si="6"/>
        <v>0</v>
      </c>
      <c r="N4" s="11">
        <f ca="1">$C4 *D4</f>
        <v>600</v>
      </c>
      <c r="O4" s="11">
        <f t="shared" ref="O4:R19" ca="1" si="7">$C4 *E4</f>
        <v>585</v>
      </c>
      <c r="P4" s="11">
        <f t="shared" ca="1" si="7"/>
        <v>600</v>
      </c>
      <c r="Q4" s="11">
        <f t="shared" ca="1" si="7"/>
        <v>615</v>
      </c>
      <c r="R4" s="11">
        <f t="shared" ca="1" si="7"/>
        <v>600</v>
      </c>
      <c r="S4" s="13">
        <f ca="1">I4*$C4*0.5</f>
        <v>0</v>
      </c>
      <c r="T4" s="13">
        <f t="shared" ref="T4:W19" ca="1" si="8">J4*$C4*0.5</f>
        <v>0</v>
      </c>
      <c r="U4" s="13">
        <f t="shared" ca="1" si="8"/>
        <v>0</v>
      </c>
      <c r="V4" s="13">
        <f t="shared" ca="1" si="8"/>
        <v>7.5</v>
      </c>
      <c r="W4" s="13">
        <f t="shared" ca="1" si="8"/>
        <v>0</v>
      </c>
      <c r="X4" s="9">
        <f ca="1">N4 + S4</f>
        <v>600</v>
      </c>
      <c r="Y4" s="9">
        <f t="shared" ref="Y4:AB19" ca="1" si="9">O4 + T4</f>
        <v>585</v>
      </c>
      <c r="Z4" s="9">
        <f t="shared" ca="1" si="9"/>
        <v>600</v>
      </c>
      <c r="AA4" s="9">
        <f t="shared" ca="1" si="9"/>
        <v>622.5</v>
      </c>
      <c r="AB4" s="9">
        <f t="shared" ca="1" si="9"/>
        <v>600</v>
      </c>
      <c r="AD4" s="2">
        <f ca="1">SUM(X4:AB4)</f>
        <v>3007.5</v>
      </c>
    </row>
    <row r="5" spans="1:30" x14ac:dyDescent="0.25">
      <c r="A5" t="s">
        <v>6</v>
      </c>
      <c r="B5" t="s">
        <v>7</v>
      </c>
      <c r="C5" s="1">
        <f t="shared" ref="C5:C20" ca="1" si="10">RANDBETWEEN(14, 20)</f>
        <v>19</v>
      </c>
      <c r="D5" s="6">
        <f t="shared" ref="D5:H20" ca="1" si="11">RANDBETWEEN(39, 42)</f>
        <v>41</v>
      </c>
      <c r="E5" s="6">
        <f t="shared" ca="1" si="11"/>
        <v>41</v>
      </c>
      <c r="F5" s="6">
        <f t="shared" ca="1" si="11"/>
        <v>42</v>
      </c>
      <c r="G5" s="6">
        <f t="shared" ca="1" si="11"/>
        <v>42</v>
      </c>
      <c r="H5" s="6">
        <f t="shared" ca="1" si="11"/>
        <v>39</v>
      </c>
      <c r="I5" s="8">
        <f t="shared" ref="I5:I20" ca="1" si="12">IF(D5&gt;40, D5 - 40, 0)</f>
        <v>1</v>
      </c>
      <c r="J5" s="8">
        <f t="shared" ca="1" si="6"/>
        <v>1</v>
      </c>
      <c r="K5" s="8">
        <f t="shared" ca="1" si="6"/>
        <v>2</v>
      </c>
      <c r="L5" s="8">
        <f t="shared" ca="1" si="6"/>
        <v>2</v>
      </c>
      <c r="M5" s="8">
        <f t="shared" ca="1" si="6"/>
        <v>0</v>
      </c>
      <c r="N5" s="11">
        <f t="shared" ref="N5:N20" ca="1" si="13">$C5 *D5</f>
        <v>779</v>
      </c>
      <c r="O5" s="11">
        <f t="shared" ca="1" si="7"/>
        <v>779</v>
      </c>
      <c r="P5" s="11">
        <f t="shared" ca="1" si="7"/>
        <v>798</v>
      </c>
      <c r="Q5" s="11">
        <f t="shared" ca="1" si="7"/>
        <v>798</v>
      </c>
      <c r="R5" s="11">
        <f t="shared" ca="1" si="7"/>
        <v>741</v>
      </c>
      <c r="S5" s="13">
        <f t="shared" ref="S5:S20" ca="1" si="14">I5*$C5*0.5</f>
        <v>9.5</v>
      </c>
      <c r="T5" s="13">
        <f t="shared" ca="1" si="8"/>
        <v>9.5</v>
      </c>
      <c r="U5" s="13">
        <f t="shared" ca="1" si="8"/>
        <v>19</v>
      </c>
      <c r="V5" s="13">
        <f t="shared" ca="1" si="8"/>
        <v>19</v>
      </c>
      <c r="W5" s="13">
        <f t="shared" ca="1" si="8"/>
        <v>0</v>
      </c>
      <c r="X5" s="9">
        <f t="shared" ref="X5:X20" ca="1" si="15">N5 + S5</f>
        <v>788.5</v>
      </c>
      <c r="Y5" s="9">
        <f t="shared" ca="1" si="9"/>
        <v>788.5</v>
      </c>
      <c r="Z5" s="9">
        <f t="shared" ca="1" si="9"/>
        <v>817</v>
      </c>
      <c r="AA5" s="9">
        <f t="shared" ca="1" si="9"/>
        <v>817</v>
      </c>
      <c r="AB5" s="9">
        <f t="shared" ca="1" si="9"/>
        <v>741</v>
      </c>
      <c r="AD5" s="2">
        <f t="shared" ref="AD5:AD20" ca="1" si="16">SUM(X5:AB5)</f>
        <v>3952</v>
      </c>
    </row>
    <row r="6" spans="1:30" x14ac:dyDescent="0.25">
      <c r="A6" t="s">
        <v>8</v>
      </c>
      <c r="B6" t="s">
        <v>9</v>
      </c>
      <c r="C6" s="1">
        <f t="shared" ca="1" si="10"/>
        <v>19</v>
      </c>
      <c r="D6" s="6">
        <f t="shared" ca="1" si="11"/>
        <v>41</v>
      </c>
      <c r="E6" s="6">
        <f t="shared" ca="1" si="11"/>
        <v>40</v>
      </c>
      <c r="F6" s="6">
        <f t="shared" ca="1" si="11"/>
        <v>40</v>
      </c>
      <c r="G6" s="6">
        <f t="shared" ca="1" si="11"/>
        <v>39</v>
      </c>
      <c r="H6" s="6">
        <f t="shared" ca="1" si="11"/>
        <v>41</v>
      </c>
      <c r="I6" s="8">
        <f t="shared" ca="1" si="12"/>
        <v>1</v>
      </c>
      <c r="J6" s="8">
        <f t="shared" ca="1" si="6"/>
        <v>0</v>
      </c>
      <c r="K6" s="8">
        <f t="shared" ca="1" si="6"/>
        <v>0</v>
      </c>
      <c r="L6" s="8">
        <f t="shared" ca="1" si="6"/>
        <v>0</v>
      </c>
      <c r="M6" s="8">
        <f t="shared" ca="1" si="6"/>
        <v>1</v>
      </c>
      <c r="N6" s="11">
        <f t="shared" ca="1" si="13"/>
        <v>779</v>
      </c>
      <c r="O6" s="11">
        <f t="shared" ca="1" si="7"/>
        <v>760</v>
      </c>
      <c r="P6" s="11">
        <f t="shared" ca="1" si="7"/>
        <v>760</v>
      </c>
      <c r="Q6" s="11">
        <f t="shared" ca="1" si="7"/>
        <v>741</v>
      </c>
      <c r="R6" s="11">
        <f t="shared" ca="1" si="7"/>
        <v>779</v>
      </c>
      <c r="S6" s="13">
        <f t="shared" ca="1" si="14"/>
        <v>9.5</v>
      </c>
      <c r="T6" s="13">
        <f t="shared" ca="1" si="8"/>
        <v>0</v>
      </c>
      <c r="U6" s="13">
        <f t="shared" ca="1" si="8"/>
        <v>0</v>
      </c>
      <c r="V6" s="13">
        <f t="shared" ca="1" si="8"/>
        <v>0</v>
      </c>
      <c r="W6" s="13">
        <f t="shared" ca="1" si="8"/>
        <v>9.5</v>
      </c>
      <c r="X6" s="9">
        <f t="shared" ca="1" si="15"/>
        <v>788.5</v>
      </c>
      <c r="Y6" s="9">
        <f t="shared" ca="1" si="9"/>
        <v>760</v>
      </c>
      <c r="Z6" s="9">
        <f t="shared" ca="1" si="9"/>
        <v>760</v>
      </c>
      <c r="AA6" s="9">
        <f t="shared" ca="1" si="9"/>
        <v>741</v>
      </c>
      <c r="AB6" s="9">
        <f t="shared" ca="1" si="9"/>
        <v>788.5</v>
      </c>
      <c r="AD6" s="2">
        <f t="shared" ca="1" si="16"/>
        <v>3838</v>
      </c>
    </row>
    <row r="7" spans="1:30" x14ac:dyDescent="0.25">
      <c r="A7" t="s">
        <v>10</v>
      </c>
      <c r="B7" t="s">
        <v>11</v>
      </c>
      <c r="C7" s="1">
        <f t="shared" ca="1" si="10"/>
        <v>18</v>
      </c>
      <c r="D7" s="6">
        <f t="shared" ca="1" si="11"/>
        <v>40</v>
      </c>
      <c r="E7" s="6">
        <f t="shared" ca="1" si="11"/>
        <v>39</v>
      </c>
      <c r="F7" s="6">
        <f t="shared" ca="1" si="11"/>
        <v>41</v>
      </c>
      <c r="G7" s="6">
        <f t="shared" ca="1" si="11"/>
        <v>42</v>
      </c>
      <c r="H7" s="6">
        <f t="shared" ca="1" si="11"/>
        <v>41</v>
      </c>
      <c r="I7" s="8">
        <f t="shared" ca="1" si="12"/>
        <v>0</v>
      </c>
      <c r="J7" s="8">
        <f t="shared" ca="1" si="6"/>
        <v>0</v>
      </c>
      <c r="K7" s="8">
        <f t="shared" ca="1" si="6"/>
        <v>1</v>
      </c>
      <c r="L7" s="8">
        <f t="shared" ca="1" si="6"/>
        <v>2</v>
      </c>
      <c r="M7" s="8">
        <f t="shared" ca="1" si="6"/>
        <v>1</v>
      </c>
      <c r="N7" s="11">
        <f t="shared" ca="1" si="13"/>
        <v>720</v>
      </c>
      <c r="O7" s="11">
        <f t="shared" ca="1" si="7"/>
        <v>702</v>
      </c>
      <c r="P7" s="11">
        <f t="shared" ca="1" si="7"/>
        <v>738</v>
      </c>
      <c r="Q7" s="11">
        <f t="shared" ca="1" si="7"/>
        <v>756</v>
      </c>
      <c r="R7" s="11">
        <f t="shared" ca="1" si="7"/>
        <v>738</v>
      </c>
      <c r="S7" s="13">
        <f t="shared" ca="1" si="14"/>
        <v>0</v>
      </c>
      <c r="T7" s="13">
        <f t="shared" ca="1" si="8"/>
        <v>0</v>
      </c>
      <c r="U7" s="13">
        <f t="shared" ca="1" si="8"/>
        <v>9</v>
      </c>
      <c r="V7" s="13">
        <f t="shared" ca="1" si="8"/>
        <v>18</v>
      </c>
      <c r="W7" s="13">
        <f t="shared" ca="1" si="8"/>
        <v>9</v>
      </c>
      <c r="X7" s="9">
        <f t="shared" ca="1" si="15"/>
        <v>720</v>
      </c>
      <c r="Y7" s="9">
        <f t="shared" ca="1" si="9"/>
        <v>702</v>
      </c>
      <c r="Z7" s="9">
        <f t="shared" ca="1" si="9"/>
        <v>747</v>
      </c>
      <c r="AA7" s="9">
        <f t="shared" ca="1" si="9"/>
        <v>774</v>
      </c>
      <c r="AB7" s="9">
        <f t="shared" ca="1" si="9"/>
        <v>747</v>
      </c>
      <c r="AD7" s="2">
        <f t="shared" ca="1" si="16"/>
        <v>3690</v>
      </c>
    </row>
    <row r="8" spans="1:30" x14ac:dyDescent="0.25">
      <c r="A8" t="s">
        <v>12</v>
      </c>
      <c r="B8" t="s">
        <v>13</v>
      </c>
      <c r="C8" s="1">
        <f t="shared" ca="1" si="10"/>
        <v>20</v>
      </c>
      <c r="D8" s="6">
        <f t="shared" ca="1" si="11"/>
        <v>39</v>
      </c>
      <c r="E8" s="6">
        <f t="shared" ca="1" si="11"/>
        <v>41</v>
      </c>
      <c r="F8" s="6">
        <f t="shared" ca="1" si="11"/>
        <v>41</v>
      </c>
      <c r="G8" s="6">
        <f t="shared" ca="1" si="11"/>
        <v>39</v>
      </c>
      <c r="H8" s="6">
        <f t="shared" ca="1" si="11"/>
        <v>41</v>
      </c>
      <c r="I8" s="8">
        <f t="shared" ca="1" si="12"/>
        <v>0</v>
      </c>
      <c r="J8" s="8">
        <f t="shared" ca="1" si="6"/>
        <v>1</v>
      </c>
      <c r="K8" s="8">
        <f t="shared" ca="1" si="6"/>
        <v>1</v>
      </c>
      <c r="L8" s="8">
        <f t="shared" ca="1" si="6"/>
        <v>0</v>
      </c>
      <c r="M8" s="8">
        <f t="shared" ca="1" si="6"/>
        <v>1</v>
      </c>
      <c r="N8" s="11">
        <f t="shared" ca="1" si="13"/>
        <v>780</v>
      </c>
      <c r="O8" s="11">
        <f t="shared" ca="1" si="7"/>
        <v>820</v>
      </c>
      <c r="P8" s="11">
        <f t="shared" ca="1" si="7"/>
        <v>820</v>
      </c>
      <c r="Q8" s="11">
        <f t="shared" ca="1" si="7"/>
        <v>780</v>
      </c>
      <c r="R8" s="11">
        <f t="shared" ca="1" si="7"/>
        <v>820</v>
      </c>
      <c r="S8" s="13">
        <f t="shared" ca="1" si="14"/>
        <v>0</v>
      </c>
      <c r="T8" s="13">
        <f t="shared" ca="1" si="8"/>
        <v>10</v>
      </c>
      <c r="U8" s="13">
        <f t="shared" ca="1" si="8"/>
        <v>10</v>
      </c>
      <c r="V8" s="13">
        <f t="shared" ca="1" si="8"/>
        <v>0</v>
      </c>
      <c r="W8" s="13">
        <f t="shared" ca="1" si="8"/>
        <v>10</v>
      </c>
      <c r="X8" s="9">
        <f t="shared" ca="1" si="15"/>
        <v>780</v>
      </c>
      <c r="Y8" s="9">
        <f t="shared" ca="1" si="9"/>
        <v>830</v>
      </c>
      <c r="Z8" s="9">
        <f t="shared" ca="1" si="9"/>
        <v>830</v>
      </c>
      <c r="AA8" s="9">
        <f t="shared" ca="1" si="9"/>
        <v>780</v>
      </c>
      <c r="AB8" s="9">
        <f t="shared" ca="1" si="9"/>
        <v>830</v>
      </c>
      <c r="AD8" s="2">
        <f t="shared" ca="1" si="16"/>
        <v>4050</v>
      </c>
    </row>
    <row r="9" spans="1:30" x14ac:dyDescent="0.25">
      <c r="A9" t="s">
        <v>14</v>
      </c>
      <c r="B9" t="s">
        <v>15</v>
      </c>
      <c r="C9" s="1">
        <f t="shared" ca="1" si="10"/>
        <v>20</v>
      </c>
      <c r="D9" s="6">
        <f t="shared" ca="1" si="11"/>
        <v>40</v>
      </c>
      <c r="E9" s="6">
        <f t="shared" ca="1" si="11"/>
        <v>42</v>
      </c>
      <c r="F9" s="6">
        <f t="shared" ca="1" si="11"/>
        <v>40</v>
      </c>
      <c r="G9" s="6">
        <f t="shared" ca="1" si="11"/>
        <v>40</v>
      </c>
      <c r="H9" s="6">
        <f t="shared" ca="1" si="11"/>
        <v>41</v>
      </c>
      <c r="I9" s="8">
        <f t="shared" ca="1" si="12"/>
        <v>0</v>
      </c>
      <c r="J9" s="8">
        <f t="shared" ca="1" si="6"/>
        <v>2</v>
      </c>
      <c r="K9" s="8">
        <f t="shared" ca="1" si="6"/>
        <v>0</v>
      </c>
      <c r="L9" s="8">
        <f t="shared" ca="1" si="6"/>
        <v>0</v>
      </c>
      <c r="M9" s="8">
        <f t="shared" ca="1" si="6"/>
        <v>1</v>
      </c>
      <c r="N9" s="11">
        <f t="shared" ca="1" si="13"/>
        <v>800</v>
      </c>
      <c r="O9" s="11">
        <f t="shared" ca="1" si="7"/>
        <v>840</v>
      </c>
      <c r="P9" s="11">
        <f t="shared" ca="1" si="7"/>
        <v>800</v>
      </c>
      <c r="Q9" s="11">
        <f t="shared" ca="1" si="7"/>
        <v>800</v>
      </c>
      <c r="R9" s="11">
        <f t="shared" ca="1" si="7"/>
        <v>820</v>
      </c>
      <c r="S9" s="13">
        <f t="shared" ca="1" si="14"/>
        <v>0</v>
      </c>
      <c r="T9" s="13">
        <f t="shared" ca="1" si="8"/>
        <v>20</v>
      </c>
      <c r="U9" s="13">
        <f t="shared" ca="1" si="8"/>
        <v>0</v>
      </c>
      <c r="V9" s="13">
        <f t="shared" ca="1" si="8"/>
        <v>0</v>
      </c>
      <c r="W9" s="13">
        <f t="shared" ca="1" si="8"/>
        <v>10</v>
      </c>
      <c r="X9" s="9">
        <f t="shared" ca="1" si="15"/>
        <v>800</v>
      </c>
      <c r="Y9" s="9">
        <f t="shared" ca="1" si="9"/>
        <v>860</v>
      </c>
      <c r="Z9" s="9">
        <f t="shared" ca="1" si="9"/>
        <v>800</v>
      </c>
      <c r="AA9" s="9">
        <f t="shared" ca="1" si="9"/>
        <v>800</v>
      </c>
      <c r="AB9" s="9">
        <f t="shared" ca="1" si="9"/>
        <v>830</v>
      </c>
      <c r="AD9" s="2">
        <f t="shared" ca="1" si="16"/>
        <v>4090</v>
      </c>
    </row>
    <row r="10" spans="1:30" x14ac:dyDescent="0.25">
      <c r="A10" t="s">
        <v>16</v>
      </c>
      <c r="B10" t="s">
        <v>17</v>
      </c>
      <c r="C10" s="1">
        <f t="shared" ca="1" si="10"/>
        <v>19</v>
      </c>
      <c r="D10" s="6">
        <f t="shared" ca="1" si="11"/>
        <v>39</v>
      </c>
      <c r="E10" s="6">
        <f t="shared" ca="1" si="11"/>
        <v>41</v>
      </c>
      <c r="F10" s="6">
        <f t="shared" ca="1" si="11"/>
        <v>39</v>
      </c>
      <c r="G10" s="6">
        <f t="shared" ca="1" si="11"/>
        <v>40</v>
      </c>
      <c r="H10" s="6">
        <f t="shared" ca="1" si="11"/>
        <v>40</v>
      </c>
      <c r="I10" s="8">
        <f t="shared" ca="1" si="12"/>
        <v>0</v>
      </c>
      <c r="J10" s="8">
        <f t="shared" ca="1" si="6"/>
        <v>1</v>
      </c>
      <c r="K10" s="8">
        <f t="shared" ca="1" si="6"/>
        <v>0</v>
      </c>
      <c r="L10" s="8">
        <f t="shared" ca="1" si="6"/>
        <v>0</v>
      </c>
      <c r="M10" s="8">
        <f t="shared" ca="1" si="6"/>
        <v>0</v>
      </c>
      <c r="N10" s="11">
        <f t="shared" ca="1" si="13"/>
        <v>741</v>
      </c>
      <c r="O10" s="11">
        <f t="shared" ca="1" si="7"/>
        <v>779</v>
      </c>
      <c r="P10" s="11">
        <f t="shared" ca="1" si="7"/>
        <v>741</v>
      </c>
      <c r="Q10" s="11">
        <f t="shared" ca="1" si="7"/>
        <v>760</v>
      </c>
      <c r="R10" s="11">
        <f t="shared" ca="1" si="7"/>
        <v>760</v>
      </c>
      <c r="S10" s="13">
        <f t="shared" ca="1" si="14"/>
        <v>0</v>
      </c>
      <c r="T10" s="13">
        <f t="shared" ca="1" si="8"/>
        <v>9.5</v>
      </c>
      <c r="U10" s="13">
        <f t="shared" ca="1" si="8"/>
        <v>0</v>
      </c>
      <c r="V10" s="13">
        <f t="shared" ca="1" si="8"/>
        <v>0</v>
      </c>
      <c r="W10" s="13">
        <f t="shared" ca="1" si="8"/>
        <v>0</v>
      </c>
      <c r="X10" s="9">
        <f t="shared" ca="1" si="15"/>
        <v>741</v>
      </c>
      <c r="Y10" s="9">
        <f t="shared" ca="1" si="9"/>
        <v>788.5</v>
      </c>
      <c r="Z10" s="9">
        <f t="shared" ca="1" si="9"/>
        <v>741</v>
      </c>
      <c r="AA10" s="9">
        <f t="shared" ca="1" si="9"/>
        <v>760</v>
      </c>
      <c r="AB10" s="9">
        <f t="shared" ca="1" si="9"/>
        <v>760</v>
      </c>
      <c r="AD10" s="2">
        <f t="shared" ca="1" si="16"/>
        <v>3790.5</v>
      </c>
    </row>
    <row r="11" spans="1:30" x14ac:dyDescent="0.25">
      <c r="A11" t="s">
        <v>18</v>
      </c>
      <c r="B11" t="s">
        <v>19</v>
      </c>
      <c r="C11" s="1">
        <f t="shared" ca="1" si="10"/>
        <v>15</v>
      </c>
      <c r="D11" s="6">
        <f t="shared" ca="1" si="11"/>
        <v>42</v>
      </c>
      <c r="E11" s="6">
        <f t="shared" ca="1" si="11"/>
        <v>40</v>
      </c>
      <c r="F11" s="6">
        <f t="shared" ca="1" si="11"/>
        <v>41</v>
      </c>
      <c r="G11" s="6">
        <f t="shared" ca="1" si="11"/>
        <v>42</v>
      </c>
      <c r="H11" s="6">
        <f t="shared" ca="1" si="11"/>
        <v>39</v>
      </c>
      <c r="I11" s="8">
        <f t="shared" ca="1" si="12"/>
        <v>2</v>
      </c>
      <c r="J11" s="8">
        <f t="shared" ca="1" si="6"/>
        <v>0</v>
      </c>
      <c r="K11" s="8">
        <f t="shared" ca="1" si="6"/>
        <v>1</v>
      </c>
      <c r="L11" s="8">
        <f t="shared" ca="1" si="6"/>
        <v>2</v>
      </c>
      <c r="M11" s="8">
        <f t="shared" ca="1" si="6"/>
        <v>0</v>
      </c>
      <c r="N11" s="11">
        <f t="shared" ca="1" si="13"/>
        <v>630</v>
      </c>
      <c r="O11" s="11">
        <f t="shared" ca="1" si="7"/>
        <v>600</v>
      </c>
      <c r="P11" s="11">
        <f t="shared" ca="1" si="7"/>
        <v>615</v>
      </c>
      <c r="Q11" s="11">
        <f t="shared" ca="1" si="7"/>
        <v>630</v>
      </c>
      <c r="R11" s="11">
        <f t="shared" ca="1" si="7"/>
        <v>585</v>
      </c>
      <c r="S11" s="13">
        <f t="shared" ca="1" si="14"/>
        <v>15</v>
      </c>
      <c r="T11" s="13">
        <f t="shared" ca="1" si="8"/>
        <v>0</v>
      </c>
      <c r="U11" s="13">
        <f t="shared" ca="1" si="8"/>
        <v>7.5</v>
      </c>
      <c r="V11" s="13">
        <f t="shared" ca="1" si="8"/>
        <v>15</v>
      </c>
      <c r="W11" s="13">
        <f t="shared" ca="1" si="8"/>
        <v>0</v>
      </c>
      <c r="X11" s="9">
        <f t="shared" ca="1" si="15"/>
        <v>645</v>
      </c>
      <c r="Y11" s="9">
        <f t="shared" ca="1" si="9"/>
        <v>600</v>
      </c>
      <c r="Z11" s="9">
        <f t="shared" ca="1" si="9"/>
        <v>622.5</v>
      </c>
      <c r="AA11" s="9">
        <f t="shared" ca="1" si="9"/>
        <v>645</v>
      </c>
      <c r="AB11" s="9">
        <f t="shared" ca="1" si="9"/>
        <v>585</v>
      </c>
      <c r="AD11" s="2">
        <f t="shared" ca="1" si="16"/>
        <v>3097.5</v>
      </c>
    </row>
    <row r="12" spans="1:30" x14ac:dyDescent="0.25">
      <c r="A12" t="s">
        <v>20</v>
      </c>
      <c r="B12" t="s">
        <v>21</v>
      </c>
      <c r="C12" s="1">
        <f t="shared" ca="1" si="10"/>
        <v>20</v>
      </c>
      <c r="D12" s="6">
        <f t="shared" ca="1" si="11"/>
        <v>39</v>
      </c>
      <c r="E12" s="6">
        <f t="shared" ca="1" si="11"/>
        <v>42</v>
      </c>
      <c r="F12" s="6">
        <f t="shared" ca="1" si="11"/>
        <v>39</v>
      </c>
      <c r="G12" s="6">
        <f t="shared" ca="1" si="11"/>
        <v>41</v>
      </c>
      <c r="H12" s="6">
        <f t="shared" ca="1" si="11"/>
        <v>39</v>
      </c>
      <c r="I12" s="8">
        <f t="shared" ca="1" si="12"/>
        <v>0</v>
      </c>
      <c r="J12" s="8">
        <f t="shared" ca="1" si="6"/>
        <v>2</v>
      </c>
      <c r="K12" s="8">
        <f t="shared" ca="1" si="6"/>
        <v>0</v>
      </c>
      <c r="L12" s="8">
        <f t="shared" ca="1" si="6"/>
        <v>1</v>
      </c>
      <c r="M12" s="8">
        <f t="shared" ca="1" si="6"/>
        <v>0</v>
      </c>
      <c r="N12" s="11">
        <f t="shared" ca="1" si="13"/>
        <v>780</v>
      </c>
      <c r="O12" s="11">
        <f t="shared" ca="1" si="7"/>
        <v>840</v>
      </c>
      <c r="P12" s="11">
        <f t="shared" ca="1" si="7"/>
        <v>780</v>
      </c>
      <c r="Q12" s="11">
        <f t="shared" ca="1" si="7"/>
        <v>820</v>
      </c>
      <c r="R12" s="11">
        <f t="shared" ca="1" si="7"/>
        <v>780</v>
      </c>
      <c r="S12" s="13">
        <f t="shared" ca="1" si="14"/>
        <v>0</v>
      </c>
      <c r="T12" s="13">
        <f t="shared" ca="1" si="8"/>
        <v>20</v>
      </c>
      <c r="U12" s="13">
        <f t="shared" ca="1" si="8"/>
        <v>0</v>
      </c>
      <c r="V12" s="13">
        <f t="shared" ca="1" si="8"/>
        <v>10</v>
      </c>
      <c r="W12" s="13">
        <f t="shared" ca="1" si="8"/>
        <v>0</v>
      </c>
      <c r="X12" s="9">
        <f t="shared" ca="1" si="15"/>
        <v>780</v>
      </c>
      <c r="Y12" s="9">
        <f t="shared" ca="1" si="9"/>
        <v>860</v>
      </c>
      <c r="Z12" s="9">
        <f t="shared" ca="1" si="9"/>
        <v>780</v>
      </c>
      <c r="AA12" s="9">
        <f t="shared" ca="1" si="9"/>
        <v>830</v>
      </c>
      <c r="AB12" s="9">
        <f t="shared" ca="1" si="9"/>
        <v>780</v>
      </c>
      <c r="AD12" s="2">
        <f t="shared" ca="1" si="16"/>
        <v>4030</v>
      </c>
    </row>
    <row r="13" spans="1:30" x14ac:dyDescent="0.25">
      <c r="A13" t="s">
        <v>22</v>
      </c>
      <c r="B13" t="s">
        <v>23</v>
      </c>
      <c r="C13" s="1">
        <f t="shared" ca="1" si="10"/>
        <v>19</v>
      </c>
      <c r="D13" s="6">
        <f t="shared" ca="1" si="11"/>
        <v>40</v>
      </c>
      <c r="E13" s="6">
        <f t="shared" ca="1" si="11"/>
        <v>41</v>
      </c>
      <c r="F13" s="6">
        <f t="shared" ca="1" si="11"/>
        <v>39</v>
      </c>
      <c r="G13" s="6">
        <f t="shared" ca="1" si="11"/>
        <v>40</v>
      </c>
      <c r="H13" s="6">
        <f t="shared" ca="1" si="11"/>
        <v>42</v>
      </c>
      <c r="I13" s="8">
        <f t="shared" ca="1" si="12"/>
        <v>0</v>
      </c>
      <c r="J13" s="8">
        <f t="shared" ca="1" si="6"/>
        <v>1</v>
      </c>
      <c r="K13" s="8">
        <f t="shared" ca="1" si="6"/>
        <v>0</v>
      </c>
      <c r="L13" s="8">
        <f t="shared" ca="1" si="6"/>
        <v>0</v>
      </c>
      <c r="M13" s="8">
        <f t="shared" ca="1" si="6"/>
        <v>2</v>
      </c>
      <c r="N13" s="11">
        <f t="shared" ca="1" si="13"/>
        <v>760</v>
      </c>
      <c r="O13" s="11">
        <f t="shared" ca="1" si="7"/>
        <v>779</v>
      </c>
      <c r="P13" s="11">
        <f t="shared" ca="1" si="7"/>
        <v>741</v>
      </c>
      <c r="Q13" s="11">
        <f t="shared" ca="1" si="7"/>
        <v>760</v>
      </c>
      <c r="R13" s="11">
        <f t="shared" ca="1" si="7"/>
        <v>798</v>
      </c>
      <c r="S13" s="13">
        <f t="shared" ca="1" si="14"/>
        <v>0</v>
      </c>
      <c r="T13" s="13">
        <f t="shared" ca="1" si="8"/>
        <v>9.5</v>
      </c>
      <c r="U13" s="13">
        <f t="shared" ca="1" si="8"/>
        <v>0</v>
      </c>
      <c r="V13" s="13">
        <f t="shared" ca="1" si="8"/>
        <v>0</v>
      </c>
      <c r="W13" s="13">
        <f t="shared" ca="1" si="8"/>
        <v>19</v>
      </c>
      <c r="X13" s="9">
        <f t="shared" ca="1" si="15"/>
        <v>760</v>
      </c>
      <c r="Y13" s="9">
        <f t="shared" ca="1" si="9"/>
        <v>788.5</v>
      </c>
      <c r="Z13" s="9">
        <f t="shared" ca="1" si="9"/>
        <v>741</v>
      </c>
      <c r="AA13" s="9">
        <f t="shared" ca="1" si="9"/>
        <v>760</v>
      </c>
      <c r="AB13" s="9">
        <f t="shared" ca="1" si="9"/>
        <v>817</v>
      </c>
      <c r="AD13" s="2">
        <f t="shared" ca="1" si="16"/>
        <v>3866.5</v>
      </c>
    </row>
    <row r="14" spans="1:30" x14ac:dyDescent="0.25">
      <c r="A14" t="s">
        <v>24</v>
      </c>
      <c r="B14" t="s">
        <v>25</v>
      </c>
      <c r="C14" s="1">
        <f t="shared" ca="1" si="10"/>
        <v>16</v>
      </c>
      <c r="D14" s="6">
        <f t="shared" ca="1" si="11"/>
        <v>42</v>
      </c>
      <c r="E14" s="6">
        <f t="shared" ca="1" si="11"/>
        <v>39</v>
      </c>
      <c r="F14" s="6">
        <f t="shared" ca="1" si="11"/>
        <v>41</v>
      </c>
      <c r="G14" s="6">
        <f t="shared" ca="1" si="11"/>
        <v>42</v>
      </c>
      <c r="H14" s="6">
        <f t="shared" ca="1" si="11"/>
        <v>39</v>
      </c>
      <c r="I14" s="8">
        <f t="shared" ca="1" si="12"/>
        <v>2</v>
      </c>
      <c r="J14" s="8">
        <f t="shared" ca="1" si="6"/>
        <v>0</v>
      </c>
      <c r="K14" s="8">
        <f t="shared" ca="1" si="6"/>
        <v>1</v>
      </c>
      <c r="L14" s="8">
        <f t="shared" ca="1" si="6"/>
        <v>2</v>
      </c>
      <c r="M14" s="8">
        <f t="shared" ca="1" si="6"/>
        <v>0</v>
      </c>
      <c r="N14" s="11">
        <f t="shared" ca="1" si="13"/>
        <v>672</v>
      </c>
      <c r="O14" s="11">
        <f t="shared" ca="1" si="7"/>
        <v>624</v>
      </c>
      <c r="P14" s="11">
        <f t="shared" ca="1" si="7"/>
        <v>656</v>
      </c>
      <c r="Q14" s="11">
        <f t="shared" ca="1" si="7"/>
        <v>672</v>
      </c>
      <c r="R14" s="11">
        <f t="shared" ca="1" si="7"/>
        <v>624</v>
      </c>
      <c r="S14" s="13">
        <f t="shared" ca="1" si="14"/>
        <v>16</v>
      </c>
      <c r="T14" s="13">
        <f t="shared" ca="1" si="8"/>
        <v>0</v>
      </c>
      <c r="U14" s="13">
        <f t="shared" ca="1" si="8"/>
        <v>8</v>
      </c>
      <c r="V14" s="13">
        <f t="shared" ca="1" si="8"/>
        <v>16</v>
      </c>
      <c r="W14" s="13">
        <f t="shared" ca="1" si="8"/>
        <v>0</v>
      </c>
      <c r="X14" s="9">
        <f t="shared" ca="1" si="15"/>
        <v>688</v>
      </c>
      <c r="Y14" s="9">
        <f t="shared" ca="1" si="9"/>
        <v>624</v>
      </c>
      <c r="Z14" s="9">
        <f t="shared" ca="1" si="9"/>
        <v>664</v>
      </c>
      <c r="AA14" s="9">
        <f t="shared" ca="1" si="9"/>
        <v>688</v>
      </c>
      <c r="AB14" s="9">
        <f t="shared" ca="1" si="9"/>
        <v>624</v>
      </c>
      <c r="AD14" s="2">
        <f t="shared" ca="1" si="16"/>
        <v>3288</v>
      </c>
    </row>
    <row r="15" spans="1:30" x14ac:dyDescent="0.25">
      <c r="A15" t="s">
        <v>26</v>
      </c>
      <c r="B15" t="s">
        <v>27</v>
      </c>
      <c r="C15" s="1">
        <f t="shared" ca="1" si="10"/>
        <v>20</v>
      </c>
      <c r="D15" s="6">
        <f t="shared" ca="1" si="11"/>
        <v>40</v>
      </c>
      <c r="E15" s="6">
        <f t="shared" ca="1" si="11"/>
        <v>40</v>
      </c>
      <c r="F15" s="6">
        <f t="shared" ca="1" si="11"/>
        <v>41</v>
      </c>
      <c r="G15" s="6">
        <f t="shared" ca="1" si="11"/>
        <v>39</v>
      </c>
      <c r="H15" s="6">
        <f t="shared" ca="1" si="11"/>
        <v>39</v>
      </c>
      <c r="I15" s="8">
        <f t="shared" ca="1" si="12"/>
        <v>0</v>
      </c>
      <c r="J15" s="8">
        <f t="shared" ca="1" si="6"/>
        <v>0</v>
      </c>
      <c r="K15" s="8">
        <f t="shared" ca="1" si="6"/>
        <v>1</v>
      </c>
      <c r="L15" s="8">
        <f t="shared" ca="1" si="6"/>
        <v>0</v>
      </c>
      <c r="M15" s="8">
        <f t="shared" ca="1" si="6"/>
        <v>0</v>
      </c>
      <c r="N15" s="11">
        <f t="shared" ca="1" si="13"/>
        <v>800</v>
      </c>
      <c r="O15" s="11">
        <f t="shared" ca="1" si="7"/>
        <v>800</v>
      </c>
      <c r="P15" s="11">
        <f t="shared" ca="1" si="7"/>
        <v>820</v>
      </c>
      <c r="Q15" s="11">
        <f t="shared" ca="1" si="7"/>
        <v>780</v>
      </c>
      <c r="R15" s="11">
        <f t="shared" ca="1" si="7"/>
        <v>780</v>
      </c>
      <c r="S15" s="13">
        <f t="shared" ca="1" si="14"/>
        <v>0</v>
      </c>
      <c r="T15" s="13">
        <f t="shared" ca="1" si="8"/>
        <v>0</v>
      </c>
      <c r="U15" s="13">
        <f t="shared" ca="1" si="8"/>
        <v>10</v>
      </c>
      <c r="V15" s="13">
        <f t="shared" ca="1" si="8"/>
        <v>0</v>
      </c>
      <c r="W15" s="13">
        <f t="shared" ca="1" si="8"/>
        <v>0</v>
      </c>
      <c r="X15" s="9">
        <f t="shared" ca="1" si="15"/>
        <v>800</v>
      </c>
      <c r="Y15" s="9">
        <f t="shared" ca="1" si="9"/>
        <v>800</v>
      </c>
      <c r="Z15" s="9">
        <f t="shared" ca="1" si="9"/>
        <v>830</v>
      </c>
      <c r="AA15" s="9">
        <f t="shared" ca="1" si="9"/>
        <v>780</v>
      </c>
      <c r="AB15" s="9">
        <f t="shared" ca="1" si="9"/>
        <v>780</v>
      </c>
      <c r="AD15" s="2">
        <f t="shared" ca="1" si="16"/>
        <v>3990</v>
      </c>
    </row>
    <row r="16" spans="1:30" x14ac:dyDescent="0.25">
      <c r="A16" t="s">
        <v>28</v>
      </c>
      <c r="B16" t="s">
        <v>29</v>
      </c>
      <c r="C16" s="1">
        <f t="shared" ca="1" si="10"/>
        <v>18</v>
      </c>
      <c r="D16" s="6">
        <f t="shared" ca="1" si="11"/>
        <v>41</v>
      </c>
      <c r="E16" s="6">
        <f t="shared" ca="1" si="11"/>
        <v>39</v>
      </c>
      <c r="F16" s="6">
        <f t="shared" ca="1" si="11"/>
        <v>42</v>
      </c>
      <c r="G16" s="6">
        <f t="shared" ca="1" si="11"/>
        <v>40</v>
      </c>
      <c r="H16" s="6">
        <f t="shared" ca="1" si="11"/>
        <v>40</v>
      </c>
      <c r="I16" s="8">
        <f t="shared" ca="1" si="12"/>
        <v>1</v>
      </c>
      <c r="J16" s="8">
        <f t="shared" ca="1" si="6"/>
        <v>0</v>
      </c>
      <c r="K16" s="8">
        <f t="shared" ca="1" si="6"/>
        <v>2</v>
      </c>
      <c r="L16" s="8">
        <f t="shared" ca="1" si="6"/>
        <v>0</v>
      </c>
      <c r="M16" s="8">
        <f t="shared" ca="1" si="6"/>
        <v>0</v>
      </c>
      <c r="N16" s="11">
        <f t="shared" ca="1" si="13"/>
        <v>738</v>
      </c>
      <c r="O16" s="11">
        <f t="shared" ca="1" si="7"/>
        <v>702</v>
      </c>
      <c r="P16" s="11">
        <f t="shared" ca="1" si="7"/>
        <v>756</v>
      </c>
      <c r="Q16" s="11">
        <f t="shared" ca="1" si="7"/>
        <v>720</v>
      </c>
      <c r="R16" s="11">
        <f t="shared" ca="1" si="7"/>
        <v>720</v>
      </c>
      <c r="S16" s="13">
        <f t="shared" ca="1" si="14"/>
        <v>9</v>
      </c>
      <c r="T16" s="13">
        <f t="shared" ca="1" si="8"/>
        <v>0</v>
      </c>
      <c r="U16" s="13">
        <f t="shared" ca="1" si="8"/>
        <v>18</v>
      </c>
      <c r="V16" s="13">
        <f t="shared" ca="1" si="8"/>
        <v>0</v>
      </c>
      <c r="W16" s="13">
        <f t="shared" ca="1" si="8"/>
        <v>0</v>
      </c>
      <c r="X16" s="9">
        <f t="shared" ca="1" si="15"/>
        <v>747</v>
      </c>
      <c r="Y16" s="9">
        <f t="shared" ca="1" si="9"/>
        <v>702</v>
      </c>
      <c r="Z16" s="9">
        <f t="shared" ca="1" si="9"/>
        <v>774</v>
      </c>
      <c r="AA16" s="9">
        <f t="shared" ca="1" si="9"/>
        <v>720</v>
      </c>
      <c r="AB16" s="9">
        <f t="shared" ca="1" si="9"/>
        <v>720</v>
      </c>
      <c r="AD16" s="2">
        <f t="shared" ca="1" si="16"/>
        <v>3663</v>
      </c>
    </row>
    <row r="17" spans="1:30" x14ac:dyDescent="0.25">
      <c r="A17" t="s">
        <v>30</v>
      </c>
      <c r="B17" t="s">
        <v>31</v>
      </c>
      <c r="C17" s="1">
        <f t="shared" ca="1" si="10"/>
        <v>20</v>
      </c>
      <c r="D17" s="6">
        <f t="shared" ca="1" si="11"/>
        <v>41</v>
      </c>
      <c r="E17" s="6">
        <f t="shared" ca="1" si="11"/>
        <v>39</v>
      </c>
      <c r="F17" s="6">
        <f t="shared" ca="1" si="11"/>
        <v>40</v>
      </c>
      <c r="G17" s="6">
        <f t="shared" ca="1" si="11"/>
        <v>40</v>
      </c>
      <c r="H17" s="6">
        <f t="shared" ca="1" si="11"/>
        <v>40</v>
      </c>
      <c r="I17" s="8">
        <f t="shared" ca="1" si="12"/>
        <v>1</v>
      </c>
      <c r="J17" s="8">
        <f t="shared" ca="1" si="6"/>
        <v>0</v>
      </c>
      <c r="K17" s="8">
        <f t="shared" ca="1" si="6"/>
        <v>0</v>
      </c>
      <c r="L17" s="8">
        <f t="shared" ca="1" si="6"/>
        <v>0</v>
      </c>
      <c r="M17" s="8">
        <f t="shared" ca="1" si="6"/>
        <v>0</v>
      </c>
      <c r="N17" s="11">
        <f t="shared" ca="1" si="13"/>
        <v>820</v>
      </c>
      <c r="O17" s="11">
        <f t="shared" ca="1" si="7"/>
        <v>780</v>
      </c>
      <c r="P17" s="11">
        <f t="shared" ca="1" si="7"/>
        <v>800</v>
      </c>
      <c r="Q17" s="11">
        <f t="shared" ca="1" si="7"/>
        <v>800</v>
      </c>
      <c r="R17" s="11">
        <f t="shared" ca="1" si="7"/>
        <v>800</v>
      </c>
      <c r="S17" s="13">
        <f t="shared" ca="1" si="14"/>
        <v>10</v>
      </c>
      <c r="T17" s="13">
        <f t="shared" ca="1" si="8"/>
        <v>0</v>
      </c>
      <c r="U17" s="13">
        <f t="shared" ca="1" si="8"/>
        <v>0</v>
      </c>
      <c r="V17" s="13">
        <f t="shared" ca="1" si="8"/>
        <v>0</v>
      </c>
      <c r="W17" s="13">
        <f t="shared" ca="1" si="8"/>
        <v>0</v>
      </c>
      <c r="X17" s="9">
        <f t="shared" ca="1" si="15"/>
        <v>830</v>
      </c>
      <c r="Y17" s="9">
        <f t="shared" ca="1" si="9"/>
        <v>780</v>
      </c>
      <c r="Z17" s="9">
        <f t="shared" ca="1" si="9"/>
        <v>800</v>
      </c>
      <c r="AA17" s="9">
        <f t="shared" ca="1" si="9"/>
        <v>800</v>
      </c>
      <c r="AB17" s="9">
        <f t="shared" ca="1" si="9"/>
        <v>800</v>
      </c>
      <c r="AD17" s="2">
        <f t="shared" ca="1" si="16"/>
        <v>4010</v>
      </c>
    </row>
    <row r="18" spans="1:30" x14ac:dyDescent="0.25">
      <c r="A18" t="s">
        <v>32</v>
      </c>
      <c r="B18" t="s">
        <v>33</v>
      </c>
      <c r="C18" s="1">
        <f t="shared" ca="1" si="10"/>
        <v>19</v>
      </c>
      <c r="D18" s="6">
        <f t="shared" ca="1" si="11"/>
        <v>42</v>
      </c>
      <c r="E18" s="6">
        <f t="shared" ca="1" si="11"/>
        <v>41</v>
      </c>
      <c r="F18" s="6">
        <f t="shared" ca="1" si="11"/>
        <v>39</v>
      </c>
      <c r="G18" s="6">
        <f t="shared" ca="1" si="11"/>
        <v>40</v>
      </c>
      <c r="H18" s="6">
        <f t="shared" ca="1" si="11"/>
        <v>41</v>
      </c>
      <c r="I18" s="8">
        <f t="shared" ca="1" si="12"/>
        <v>2</v>
      </c>
      <c r="J18" s="8">
        <f t="shared" ca="1" si="6"/>
        <v>1</v>
      </c>
      <c r="K18" s="8">
        <f t="shared" ca="1" si="6"/>
        <v>0</v>
      </c>
      <c r="L18" s="8">
        <f t="shared" ca="1" si="6"/>
        <v>0</v>
      </c>
      <c r="M18" s="8">
        <f t="shared" ca="1" si="6"/>
        <v>1</v>
      </c>
      <c r="N18" s="11">
        <f t="shared" ca="1" si="13"/>
        <v>798</v>
      </c>
      <c r="O18" s="11">
        <f t="shared" ca="1" si="7"/>
        <v>779</v>
      </c>
      <c r="P18" s="11">
        <f t="shared" ca="1" si="7"/>
        <v>741</v>
      </c>
      <c r="Q18" s="11">
        <f t="shared" ca="1" si="7"/>
        <v>760</v>
      </c>
      <c r="R18" s="11">
        <f t="shared" ca="1" si="7"/>
        <v>779</v>
      </c>
      <c r="S18" s="13">
        <f t="shared" ca="1" si="14"/>
        <v>19</v>
      </c>
      <c r="T18" s="13">
        <f t="shared" ca="1" si="8"/>
        <v>9.5</v>
      </c>
      <c r="U18" s="13">
        <f t="shared" ca="1" si="8"/>
        <v>0</v>
      </c>
      <c r="V18" s="13">
        <f t="shared" ca="1" si="8"/>
        <v>0</v>
      </c>
      <c r="W18" s="13">
        <f t="shared" ca="1" si="8"/>
        <v>9.5</v>
      </c>
      <c r="X18" s="9">
        <f t="shared" ca="1" si="15"/>
        <v>817</v>
      </c>
      <c r="Y18" s="9">
        <f t="shared" ca="1" si="9"/>
        <v>788.5</v>
      </c>
      <c r="Z18" s="9">
        <f t="shared" ca="1" si="9"/>
        <v>741</v>
      </c>
      <c r="AA18" s="9">
        <f t="shared" ca="1" si="9"/>
        <v>760</v>
      </c>
      <c r="AB18" s="9">
        <f t="shared" ca="1" si="9"/>
        <v>788.5</v>
      </c>
      <c r="AD18" s="2">
        <f t="shared" ca="1" si="16"/>
        <v>3895</v>
      </c>
    </row>
    <row r="19" spans="1:30" x14ac:dyDescent="0.25">
      <c r="A19" t="s">
        <v>34</v>
      </c>
      <c r="B19" t="s">
        <v>35</v>
      </c>
      <c r="C19" s="1">
        <f t="shared" ca="1" si="10"/>
        <v>20</v>
      </c>
      <c r="D19" s="6">
        <f t="shared" ca="1" si="11"/>
        <v>41</v>
      </c>
      <c r="E19" s="6">
        <f t="shared" ca="1" si="11"/>
        <v>39</v>
      </c>
      <c r="F19" s="6">
        <f t="shared" ca="1" si="11"/>
        <v>40</v>
      </c>
      <c r="G19" s="6">
        <f t="shared" ca="1" si="11"/>
        <v>41</v>
      </c>
      <c r="H19" s="6">
        <f t="shared" ca="1" si="11"/>
        <v>41</v>
      </c>
      <c r="I19" s="8">
        <f t="shared" ca="1" si="12"/>
        <v>1</v>
      </c>
      <c r="J19" s="8">
        <f t="shared" ca="1" si="6"/>
        <v>0</v>
      </c>
      <c r="K19" s="8">
        <f t="shared" ca="1" si="6"/>
        <v>0</v>
      </c>
      <c r="L19" s="8">
        <f t="shared" ca="1" si="6"/>
        <v>1</v>
      </c>
      <c r="M19" s="8">
        <f t="shared" ca="1" si="6"/>
        <v>1</v>
      </c>
      <c r="N19" s="11">
        <f t="shared" ca="1" si="13"/>
        <v>820</v>
      </c>
      <c r="O19" s="11">
        <f t="shared" ca="1" si="7"/>
        <v>780</v>
      </c>
      <c r="P19" s="11">
        <f t="shared" ca="1" si="7"/>
        <v>800</v>
      </c>
      <c r="Q19" s="11">
        <f t="shared" ca="1" si="7"/>
        <v>820</v>
      </c>
      <c r="R19" s="11">
        <f t="shared" ca="1" si="7"/>
        <v>820</v>
      </c>
      <c r="S19" s="13">
        <f t="shared" ca="1" si="14"/>
        <v>10</v>
      </c>
      <c r="T19" s="13">
        <f t="shared" ca="1" si="8"/>
        <v>0</v>
      </c>
      <c r="U19" s="13">
        <f t="shared" ca="1" si="8"/>
        <v>0</v>
      </c>
      <c r="V19" s="13">
        <f t="shared" ca="1" si="8"/>
        <v>10</v>
      </c>
      <c r="W19" s="13">
        <f t="shared" ca="1" si="8"/>
        <v>10</v>
      </c>
      <c r="X19" s="9">
        <f t="shared" ca="1" si="15"/>
        <v>830</v>
      </c>
      <c r="Y19" s="9">
        <f t="shared" ca="1" si="9"/>
        <v>780</v>
      </c>
      <c r="Z19" s="9">
        <f t="shared" ca="1" si="9"/>
        <v>800</v>
      </c>
      <c r="AA19" s="9">
        <f t="shared" ca="1" si="9"/>
        <v>830</v>
      </c>
      <c r="AB19" s="9">
        <f t="shared" ca="1" si="9"/>
        <v>830</v>
      </c>
      <c r="AD19" s="2">
        <f t="shared" ca="1" si="16"/>
        <v>4070</v>
      </c>
    </row>
    <row r="20" spans="1:30" x14ac:dyDescent="0.25">
      <c r="A20" t="s">
        <v>36</v>
      </c>
      <c r="B20" t="s">
        <v>37</v>
      </c>
      <c r="C20" s="1">
        <f t="shared" ca="1" si="10"/>
        <v>18</v>
      </c>
      <c r="D20" s="6">
        <f t="shared" ca="1" si="11"/>
        <v>40</v>
      </c>
      <c r="E20" s="6">
        <f t="shared" ca="1" si="11"/>
        <v>40</v>
      </c>
      <c r="F20" s="6">
        <f t="shared" ca="1" si="11"/>
        <v>42</v>
      </c>
      <c r="G20" s="6">
        <f t="shared" ca="1" si="11"/>
        <v>40</v>
      </c>
      <c r="H20" s="6">
        <f t="shared" ca="1" si="11"/>
        <v>41</v>
      </c>
      <c r="I20" s="8">
        <f t="shared" ca="1" si="12"/>
        <v>0</v>
      </c>
      <c r="J20" s="8">
        <f t="shared" ref="J20" ca="1" si="17">IF(E20&gt;40, E20 - 40, 0)</f>
        <v>0</v>
      </c>
      <c r="K20" s="8">
        <f t="shared" ref="K20" ca="1" si="18">IF(F20&gt;40, F20 - 40, 0)</f>
        <v>2</v>
      </c>
      <c r="L20" s="8">
        <f t="shared" ref="L20" ca="1" si="19">IF(G20&gt;40, G20 - 40, 0)</f>
        <v>0</v>
      </c>
      <c r="M20" s="8">
        <f t="shared" ref="M20" ca="1" si="20">IF(H20&gt;40, H20 - 40, 0)</f>
        <v>1</v>
      </c>
      <c r="N20" s="11">
        <f t="shared" ca="1" si="13"/>
        <v>720</v>
      </c>
      <c r="O20" s="11">
        <f t="shared" ref="O20" ca="1" si="21">$C20 *E20</f>
        <v>720</v>
      </c>
      <c r="P20" s="11">
        <f t="shared" ref="P20" ca="1" si="22">$C20 *F20</f>
        <v>756</v>
      </c>
      <c r="Q20" s="11">
        <f t="shared" ref="Q20" ca="1" si="23">$C20 *G20</f>
        <v>720</v>
      </c>
      <c r="R20" s="11">
        <f t="shared" ref="R20" ca="1" si="24">$C20 *H20</f>
        <v>738</v>
      </c>
      <c r="S20" s="13">
        <f t="shared" ca="1" si="14"/>
        <v>0</v>
      </c>
      <c r="T20" s="13">
        <f t="shared" ref="T20" ca="1" si="25">J20*$C20*0.5</f>
        <v>0</v>
      </c>
      <c r="U20" s="13">
        <f t="shared" ref="U20" ca="1" si="26">K20*$C20*0.5</f>
        <v>18</v>
      </c>
      <c r="V20" s="13">
        <f t="shared" ref="V20" ca="1" si="27">L20*$C20*0.5</f>
        <v>0</v>
      </c>
      <c r="W20" s="13">
        <f t="shared" ref="W20" ca="1" si="28">M20*$C20*0.5</f>
        <v>9</v>
      </c>
      <c r="X20" s="9">
        <f t="shared" ca="1" si="15"/>
        <v>720</v>
      </c>
      <c r="Y20" s="9">
        <f t="shared" ref="Y20" ca="1" si="29">O20 + T20</f>
        <v>720</v>
      </c>
      <c r="Z20" s="9">
        <f t="shared" ref="Z20" ca="1" si="30">P20 + U20</f>
        <v>774</v>
      </c>
      <c r="AA20" s="9">
        <f t="shared" ref="AA20" ca="1" si="31">Q20 + V20</f>
        <v>720</v>
      </c>
      <c r="AB20" s="9">
        <f t="shared" ref="AB20" ca="1" si="32">R20 + W20</f>
        <v>747</v>
      </c>
      <c r="AD20" s="2">
        <f t="shared" ca="1" si="16"/>
        <v>3681</v>
      </c>
    </row>
    <row r="23" spans="1:30" x14ac:dyDescent="0.25">
      <c r="A23" t="s">
        <v>39</v>
      </c>
      <c r="C23" s="2">
        <f ca="1">MAX(C4:C20)</f>
        <v>20</v>
      </c>
      <c r="D23" s="3">
        <f t="shared" ref="D23:N23" ca="1" si="33">MAX(D4:D20)</f>
        <v>42</v>
      </c>
      <c r="E23" s="3">
        <f t="shared" ref="E23:M23" ca="1" si="34">MAX(E4:E20)</f>
        <v>42</v>
      </c>
      <c r="F23" s="3">
        <f t="shared" ca="1" si="34"/>
        <v>42</v>
      </c>
      <c r="G23" s="3">
        <f t="shared" ca="1" si="34"/>
        <v>42</v>
      </c>
      <c r="H23" s="3">
        <f t="shared" ca="1" si="34"/>
        <v>42</v>
      </c>
      <c r="I23" s="3">
        <f t="shared" ca="1" si="34"/>
        <v>2</v>
      </c>
      <c r="J23" s="3">
        <f t="shared" ca="1" si="34"/>
        <v>2</v>
      </c>
      <c r="K23" s="3">
        <f t="shared" ca="1" si="34"/>
        <v>2</v>
      </c>
      <c r="L23" s="3">
        <f t="shared" ca="1" si="34"/>
        <v>2</v>
      </c>
      <c r="M23" s="3">
        <f t="shared" ca="1" si="34"/>
        <v>2</v>
      </c>
      <c r="N23" s="2">
        <f t="shared" ca="1" si="33"/>
        <v>820</v>
      </c>
      <c r="O23" s="2">
        <f t="shared" ref="O23:R23" ca="1" si="35">MAX(O4:O20)</f>
        <v>840</v>
      </c>
      <c r="P23" s="2">
        <f t="shared" ca="1" si="35"/>
        <v>820</v>
      </c>
      <c r="Q23" s="2">
        <f t="shared" ca="1" si="35"/>
        <v>820</v>
      </c>
      <c r="R23" s="2">
        <f t="shared" ca="1" si="35"/>
        <v>820</v>
      </c>
      <c r="S23" s="2">
        <f t="shared" ref="S23:X23" ca="1" si="36">MAX(S4:S20)</f>
        <v>19</v>
      </c>
      <c r="T23" s="2">
        <f t="shared" ref="T23:W23" ca="1" si="37">MAX(T4:T20)</f>
        <v>20</v>
      </c>
      <c r="U23" s="2">
        <f t="shared" ca="1" si="37"/>
        <v>19</v>
      </c>
      <c r="V23" s="2">
        <f t="shared" ca="1" si="37"/>
        <v>19</v>
      </c>
      <c r="W23" s="2">
        <f t="shared" ca="1" si="37"/>
        <v>19</v>
      </c>
      <c r="X23" s="2">
        <f t="shared" ca="1" si="36"/>
        <v>830</v>
      </c>
      <c r="Y23" s="2">
        <f t="shared" ref="Y23:AB23" ca="1" si="38">MAX(Y4:Y20)</f>
        <v>860</v>
      </c>
      <c r="Z23" s="2">
        <f t="shared" ca="1" si="38"/>
        <v>830</v>
      </c>
      <c r="AA23" s="2">
        <f t="shared" ca="1" si="38"/>
        <v>830</v>
      </c>
      <c r="AB23" s="2">
        <f t="shared" ca="1" si="38"/>
        <v>830</v>
      </c>
      <c r="AD23" s="2">
        <f t="shared" ref="AD23" ca="1" si="39">MAX(AD4:AD20)</f>
        <v>4090</v>
      </c>
    </row>
    <row r="24" spans="1:30" x14ac:dyDescent="0.25">
      <c r="A24" t="s">
        <v>40</v>
      </c>
      <c r="C24" s="2">
        <f ca="1">MIN(C4:C20)</f>
        <v>15</v>
      </c>
      <c r="D24" s="3">
        <f t="shared" ref="D24:N24" ca="1" si="40">MIN(D4:D20)</f>
        <v>39</v>
      </c>
      <c r="E24" s="3">
        <f t="shared" ref="E24:M24" ca="1" si="41">MIN(E4:E20)</f>
        <v>39</v>
      </c>
      <c r="F24" s="3">
        <f t="shared" ca="1" si="41"/>
        <v>39</v>
      </c>
      <c r="G24" s="3">
        <f t="shared" ca="1" si="41"/>
        <v>39</v>
      </c>
      <c r="H24" s="3">
        <f t="shared" ca="1" si="41"/>
        <v>39</v>
      </c>
      <c r="I24" s="3">
        <f t="shared" ca="1" si="41"/>
        <v>0</v>
      </c>
      <c r="J24" s="3">
        <f t="shared" ca="1" si="41"/>
        <v>0</v>
      </c>
      <c r="K24" s="3">
        <f t="shared" ca="1" si="41"/>
        <v>0</v>
      </c>
      <c r="L24" s="3">
        <f t="shared" ca="1" si="41"/>
        <v>0</v>
      </c>
      <c r="M24" s="3">
        <f t="shared" ca="1" si="41"/>
        <v>0</v>
      </c>
      <c r="N24" s="2">
        <f t="shared" ca="1" si="40"/>
        <v>600</v>
      </c>
      <c r="O24" s="2">
        <f t="shared" ref="O24:R24" ca="1" si="42">MIN(O4:O20)</f>
        <v>585</v>
      </c>
      <c r="P24" s="2">
        <f t="shared" ca="1" si="42"/>
        <v>600</v>
      </c>
      <c r="Q24" s="2">
        <f t="shared" ca="1" si="42"/>
        <v>615</v>
      </c>
      <c r="R24" s="2">
        <f t="shared" ca="1" si="42"/>
        <v>585</v>
      </c>
      <c r="S24" s="2">
        <f t="shared" ref="S24:X24" ca="1" si="43">MIN(S4:S20)</f>
        <v>0</v>
      </c>
      <c r="T24" s="2">
        <f t="shared" ref="T24:W24" ca="1" si="44">MIN(T4:T20)</f>
        <v>0</v>
      </c>
      <c r="U24" s="2">
        <f t="shared" ca="1" si="44"/>
        <v>0</v>
      </c>
      <c r="V24" s="2">
        <f t="shared" ca="1" si="44"/>
        <v>0</v>
      </c>
      <c r="W24" s="2">
        <f t="shared" ca="1" si="44"/>
        <v>0</v>
      </c>
      <c r="X24" s="2">
        <f t="shared" ca="1" si="43"/>
        <v>600</v>
      </c>
      <c r="Y24" s="2">
        <f t="shared" ref="Y24:AB24" ca="1" si="45">MIN(Y4:Y20)</f>
        <v>585</v>
      </c>
      <c r="Z24" s="2">
        <f t="shared" ca="1" si="45"/>
        <v>600</v>
      </c>
      <c r="AA24" s="2">
        <f t="shared" ca="1" si="45"/>
        <v>622.5</v>
      </c>
      <c r="AB24" s="2">
        <f t="shared" ca="1" si="45"/>
        <v>585</v>
      </c>
      <c r="AD24" s="2">
        <f t="shared" ref="AD24" ca="1" si="46">MIN(AD4:AD20)</f>
        <v>3007.5</v>
      </c>
    </row>
    <row r="25" spans="1:30" x14ac:dyDescent="0.25">
      <c r="A25" t="s">
        <v>41</v>
      </c>
      <c r="C25" s="2">
        <f ca="1">AVERAGE(C4:C20)</f>
        <v>18.529411764705884</v>
      </c>
      <c r="D25" s="3">
        <f t="shared" ref="D25:N25" ca="1" si="47">AVERAGE(D4:D20)</f>
        <v>40.470588235294116</v>
      </c>
      <c r="E25" s="3">
        <f t="shared" ref="E25:M25" ca="1" si="48">AVERAGE(E4:E20)</f>
        <v>40.176470588235297</v>
      </c>
      <c r="F25" s="3">
        <f t="shared" ca="1" si="48"/>
        <v>40.411764705882355</v>
      </c>
      <c r="G25" s="3">
        <f t="shared" ca="1" si="48"/>
        <v>40.470588235294116</v>
      </c>
      <c r="H25" s="3">
        <f t="shared" ca="1" si="48"/>
        <v>40.235294117647058</v>
      </c>
      <c r="I25" s="3">
        <f t="shared" ca="1" si="48"/>
        <v>0.6470588235294118</v>
      </c>
      <c r="J25" s="3">
        <f t="shared" ca="1" si="48"/>
        <v>0.52941176470588236</v>
      </c>
      <c r="K25" s="3">
        <f t="shared" ca="1" si="48"/>
        <v>0.6470588235294118</v>
      </c>
      <c r="L25" s="3">
        <f t="shared" ca="1" si="48"/>
        <v>0.6470588235294118</v>
      </c>
      <c r="M25" s="3">
        <f t="shared" ca="1" si="48"/>
        <v>0.52941176470588236</v>
      </c>
      <c r="N25" s="2">
        <f t="shared" ca="1" si="47"/>
        <v>749.23529411764707</v>
      </c>
      <c r="O25" s="2">
        <f t="shared" ref="O25:R25" ca="1" si="49">AVERAGE(O4:O20)</f>
        <v>745.23529411764707</v>
      </c>
      <c r="P25" s="2">
        <f t="shared" ca="1" si="49"/>
        <v>748.35294117647061</v>
      </c>
      <c r="Q25" s="2">
        <f t="shared" ca="1" si="49"/>
        <v>748.94117647058829</v>
      </c>
      <c r="R25" s="2">
        <f t="shared" ca="1" si="49"/>
        <v>746</v>
      </c>
      <c r="S25" s="2">
        <f t="shared" ref="S25:X25" ca="1" si="50">AVERAGE(S4:S20)</f>
        <v>5.7647058823529411</v>
      </c>
      <c r="T25" s="2">
        <f t="shared" ref="T25:W25" ca="1" si="51">AVERAGE(T4:T20)</f>
        <v>5.1764705882352944</v>
      </c>
      <c r="U25" s="2">
        <f t="shared" ca="1" si="51"/>
        <v>5.8529411764705879</v>
      </c>
      <c r="V25" s="2">
        <f t="shared" ca="1" si="51"/>
        <v>5.617647058823529</v>
      </c>
      <c r="W25" s="2">
        <f t="shared" ca="1" si="51"/>
        <v>5.0588235294117645</v>
      </c>
      <c r="X25" s="2">
        <f t="shared" ca="1" si="50"/>
        <v>755</v>
      </c>
      <c r="Y25" s="2">
        <f t="shared" ref="Y25:AB25" ca="1" si="52">AVERAGE(Y4:Y20)</f>
        <v>750.41176470588232</v>
      </c>
      <c r="Z25" s="2">
        <f t="shared" ca="1" si="52"/>
        <v>754.20588235294122</v>
      </c>
      <c r="AA25" s="2">
        <f t="shared" ca="1" si="52"/>
        <v>754.55882352941171</v>
      </c>
      <c r="AB25" s="2">
        <f t="shared" ca="1" si="52"/>
        <v>751.05882352941171</v>
      </c>
      <c r="AD25" s="2">
        <f t="shared" ref="AD25" ca="1" si="53">AVERAGE(AD4:AD20)</f>
        <v>3765.2352941176468</v>
      </c>
    </row>
    <row r="26" spans="1:30" x14ac:dyDescent="0.25">
      <c r="A26" t="s">
        <v>42</v>
      </c>
      <c r="C26" s="2">
        <f ca="1">SUM(C4:C20)</f>
        <v>315</v>
      </c>
      <c r="D26" s="3">
        <f t="shared" ref="D26:N26" ca="1" si="54">SUM(D4:D20)</f>
        <v>688</v>
      </c>
      <c r="E26" s="3">
        <f t="shared" ref="E26:M26" ca="1" si="55">SUM(E4:E20)</f>
        <v>683</v>
      </c>
      <c r="F26" s="3">
        <f t="shared" ca="1" si="55"/>
        <v>687</v>
      </c>
      <c r="G26" s="3">
        <f t="shared" ca="1" si="55"/>
        <v>688</v>
      </c>
      <c r="H26" s="3">
        <f t="shared" ca="1" si="55"/>
        <v>684</v>
      </c>
      <c r="I26" s="3">
        <f t="shared" ca="1" si="55"/>
        <v>11</v>
      </c>
      <c r="J26" s="3">
        <f t="shared" ca="1" si="55"/>
        <v>9</v>
      </c>
      <c r="K26" s="3">
        <f t="shared" ca="1" si="55"/>
        <v>11</v>
      </c>
      <c r="L26" s="3">
        <f t="shared" ca="1" si="55"/>
        <v>11</v>
      </c>
      <c r="M26" s="3">
        <f t="shared" ca="1" si="55"/>
        <v>9</v>
      </c>
      <c r="N26" s="2">
        <f t="shared" ca="1" si="54"/>
        <v>12737</v>
      </c>
      <c r="O26" s="2">
        <f t="shared" ref="O26:R26" ca="1" si="56">SUM(O4:O20)</f>
        <v>12669</v>
      </c>
      <c r="P26" s="2">
        <f t="shared" ca="1" si="56"/>
        <v>12722</v>
      </c>
      <c r="Q26" s="2">
        <f t="shared" ca="1" si="56"/>
        <v>12732</v>
      </c>
      <c r="R26" s="2">
        <f t="shared" ca="1" si="56"/>
        <v>12682</v>
      </c>
      <c r="S26" s="2">
        <f t="shared" ref="S26:X26" ca="1" si="57">SUM(S4:S20)</f>
        <v>98</v>
      </c>
      <c r="T26" s="2">
        <f t="shared" ref="T26:W26" ca="1" si="58">SUM(T4:T20)</f>
        <v>88</v>
      </c>
      <c r="U26" s="2">
        <f t="shared" ca="1" si="58"/>
        <v>99.5</v>
      </c>
      <c r="V26" s="2">
        <f t="shared" ca="1" si="58"/>
        <v>95.5</v>
      </c>
      <c r="W26" s="2">
        <f t="shared" ca="1" si="58"/>
        <v>86</v>
      </c>
      <c r="X26" s="2">
        <f t="shared" ca="1" si="57"/>
        <v>12835</v>
      </c>
      <c r="Y26" s="2">
        <f t="shared" ref="Y26:AB26" ca="1" si="59">SUM(Y4:Y20)</f>
        <v>12757</v>
      </c>
      <c r="Z26" s="2">
        <f t="shared" ca="1" si="59"/>
        <v>12821.5</v>
      </c>
      <c r="AA26" s="2">
        <f t="shared" ca="1" si="59"/>
        <v>12827.5</v>
      </c>
      <c r="AB26" s="2">
        <f t="shared" ca="1" si="59"/>
        <v>12768</v>
      </c>
      <c r="AD26" s="2">
        <f t="shared" ref="AD26" ca="1" si="60">SUM(AD4:AD20)</f>
        <v>64009</v>
      </c>
    </row>
  </sheetData>
  <mergeCells count="1">
    <mergeCell ref="A1:B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Shareen</dc:creator>
  <cp:lastModifiedBy>Shareen</cp:lastModifiedBy>
  <cp:lastPrinted>2026-07-25T14:01:16Z</cp:lastPrinted>
  <dcterms:created xsi:type="dcterms:W3CDTF">2026-07-25T08:48:19Z</dcterms:created>
  <dcterms:modified xsi:type="dcterms:W3CDTF">2026-07-25T14:08:45Z</dcterms:modified>
</cp:coreProperties>
</file>