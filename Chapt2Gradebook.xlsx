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reen\Desktop\GET A JOB\LearnExcel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K23" i="1"/>
  <c r="K24" i="1"/>
  <c r="J24" i="1"/>
  <c r="I24" i="1"/>
  <c r="H24" i="1"/>
  <c r="J23" i="1"/>
  <c r="I23" i="1"/>
  <c r="H23" i="1"/>
  <c r="K22" i="1"/>
  <c r="J22" i="1"/>
  <c r="I22" i="1"/>
  <c r="H22" i="1"/>
  <c r="D22" i="1"/>
  <c r="E22" i="1"/>
  <c r="F22" i="1"/>
  <c r="D23" i="1"/>
  <c r="E23" i="1"/>
  <c r="F23" i="1"/>
  <c r="D24" i="1"/>
  <c r="E24" i="1"/>
  <c r="F24" i="1"/>
  <c r="C24" i="1"/>
  <c r="C23" i="1"/>
  <c r="C22" i="1"/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3" i="1"/>
  <c r="I3" i="1"/>
  <c r="J3" i="1"/>
  <c r="K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4" i="1"/>
  <c r="H5" i="1"/>
  <c r="H6" i="1"/>
  <c r="H7" i="1"/>
  <c r="H8" i="1"/>
  <c r="H9" i="1"/>
  <c r="H10" i="1"/>
  <c r="H11" i="1"/>
  <c r="H13" i="1"/>
  <c r="H14" i="1"/>
  <c r="H15" i="1"/>
  <c r="H16" i="1"/>
  <c r="H17" i="1"/>
  <c r="H18" i="1"/>
  <c r="H19" i="1"/>
  <c r="H20" i="1"/>
  <c r="H3" i="1"/>
</calcChain>
</file>

<file path=xl/sharedStrings.xml><?xml version="1.0" encoding="utf-8"?>
<sst xmlns="http://schemas.openxmlformats.org/spreadsheetml/2006/main" count="49" uniqueCount="45">
  <si>
    <t>GradeBook</t>
  </si>
  <si>
    <t>Last Name</t>
  </si>
  <si>
    <t xml:space="preserve">First Name </t>
  </si>
  <si>
    <t>Kern</t>
  </si>
  <si>
    <t xml:space="preserve"> Jon</t>
  </si>
  <si>
    <t>Howard</t>
  </si>
  <si>
    <t xml:space="preserve"> Glenda</t>
  </si>
  <si>
    <t>O'Donnald</t>
  </si>
  <si>
    <t xml:space="preserve"> Ron</t>
  </si>
  <si>
    <t>Hernandez</t>
  </si>
  <si>
    <t xml:space="preserve"> Wendy</t>
  </si>
  <si>
    <t>Smith</t>
  </si>
  <si>
    <t xml:space="preserve"> Paul</t>
  </si>
  <si>
    <t>Baker</t>
  </si>
  <si>
    <t xml:space="preserve"> Tom</t>
  </si>
  <si>
    <t>Velinda</t>
  </si>
  <si>
    <t xml:space="preserve"> Nancy</t>
  </si>
  <si>
    <t>Carnehan</t>
  </si>
  <si>
    <t xml:space="preserve"> Karen</t>
  </si>
  <si>
    <t>Westerfield</t>
  </si>
  <si>
    <t xml:space="preserve"> Dennis</t>
  </si>
  <si>
    <t>Penfold</t>
  </si>
  <si>
    <t xml:space="preserve"> Sandy</t>
  </si>
  <si>
    <t>Islington</t>
  </si>
  <si>
    <t xml:space="preserve"> Linda</t>
  </si>
  <si>
    <t>Young</t>
  </si>
  <si>
    <t xml:space="preserve"> Olivia</t>
  </si>
  <si>
    <t>Trenton</t>
  </si>
  <si>
    <t xml:space="preserve"> Blessing</t>
  </si>
  <si>
    <t>Engleheart</t>
  </si>
  <si>
    <t xml:space="preserve"> Chandra</t>
  </si>
  <si>
    <t>Norman</t>
  </si>
  <si>
    <t xml:space="preserve"> Bill</t>
  </si>
  <si>
    <t>Mann</t>
  </si>
  <si>
    <t xml:space="preserve"> Trent</t>
  </si>
  <si>
    <t>Underhill</t>
  </si>
  <si>
    <t xml:space="preserve"> Genesis</t>
  </si>
  <si>
    <t>Safety Test</t>
  </si>
  <si>
    <t>Company Philosophy Test</t>
  </si>
  <si>
    <t>Financial Skills Test</t>
  </si>
  <si>
    <t>Drug Test</t>
  </si>
  <si>
    <t>Fire Employee</t>
  </si>
  <si>
    <t>Max</t>
  </si>
  <si>
    <t>Min</t>
  </si>
  <si>
    <t>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</si>
</sst>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Safety</a:t>
            </a:r>
            <a:r>
              <a:rPr lang="en-PH" baseline="0"/>
              <a:t> Test</a:t>
            </a:r>
            <a:endParaRPr lang="en-P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Sheet1!$C$3:$C$20</c:f>
              <c:numCache>
                <c:formatCode>General</c:formatCode>
                <c:ptCount val="18"/>
                <c:pt idx="0">
                  <c:v>10</c:v>
                </c:pt>
                <c:pt idx="1">
                  <c:v>7</c:v>
                </c:pt>
                <c:pt idx="2">
                  <c:v>9</c:v>
                </c:pt>
                <c:pt idx="3">
                  <c:v>7</c:v>
                </c:pt>
                <c:pt idx="4">
                  <c:v>9</c:v>
                </c:pt>
                <c:pt idx="5">
                  <c:v>9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10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9</c:v>
                </c:pt>
                <c:pt idx="16">
                  <c:v>9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1-4109-BECA-DC768AE05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4733776"/>
        <c:axId val="1274734192"/>
      </c:barChart>
      <c:catAx>
        <c:axId val="127473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734192"/>
        <c:crosses val="autoZero"/>
        <c:auto val="1"/>
        <c:lblAlgn val="ctr"/>
        <c:lblOffset val="100"/>
        <c:noMultiLvlLbl val="0"/>
      </c:catAx>
      <c:valAx>
        <c:axId val="127473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73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Company Philosophy</a:t>
            </a:r>
            <a:r>
              <a:rPr lang="en-PH" baseline="0"/>
              <a:t> Test</a:t>
            </a:r>
            <a:endParaRPr lang="en-P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Sheet1!$D$3:$D$20</c:f>
              <c:numCache>
                <c:formatCode>General</c:formatCode>
                <c:ptCount val="18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20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19</c:v>
                </c:pt>
                <c:pt idx="10">
                  <c:v>20</c:v>
                </c:pt>
                <c:pt idx="11">
                  <c:v>15</c:v>
                </c:pt>
                <c:pt idx="12">
                  <c:v>16</c:v>
                </c:pt>
                <c:pt idx="13">
                  <c:v>19</c:v>
                </c:pt>
                <c:pt idx="14">
                  <c:v>19</c:v>
                </c:pt>
                <c:pt idx="15">
                  <c:v>17</c:v>
                </c:pt>
                <c:pt idx="16">
                  <c:v>16</c:v>
                </c:pt>
                <c:pt idx="1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A-4F71-98FF-BF54328FA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851680"/>
        <c:axId val="1413855008"/>
      </c:barChart>
      <c:catAx>
        <c:axId val="141385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55008"/>
        <c:crosses val="autoZero"/>
        <c:auto val="1"/>
        <c:lblAlgn val="ctr"/>
        <c:lblOffset val="100"/>
        <c:noMultiLvlLbl val="0"/>
      </c:catAx>
      <c:valAx>
        <c:axId val="141385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51680"/>
        <c:crosses val="autoZero"/>
        <c:crossBetween val="between"/>
      </c:valAx>
      <c:spPr>
        <a:noFill/>
        <a:ln>
          <a:solidFill>
            <a:schemeClr val="accent2">
              <a:lumMod val="40000"/>
              <a:lumOff val="6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Financial</a:t>
            </a:r>
            <a:r>
              <a:rPr lang="en-PH" baseline="0"/>
              <a:t> Skills Test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Sheet1!$E$3:$E$20</c:f>
              <c:numCache>
                <c:formatCode>General</c:formatCode>
                <c:ptCount val="18"/>
                <c:pt idx="0">
                  <c:v>87</c:v>
                </c:pt>
                <c:pt idx="1">
                  <c:v>92</c:v>
                </c:pt>
                <c:pt idx="2">
                  <c:v>95</c:v>
                </c:pt>
                <c:pt idx="3">
                  <c:v>97</c:v>
                </c:pt>
                <c:pt idx="4">
                  <c:v>91</c:v>
                </c:pt>
                <c:pt idx="5">
                  <c:v>99</c:v>
                </c:pt>
                <c:pt idx="6">
                  <c:v>84</c:v>
                </c:pt>
                <c:pt idx="7">
                  <c:v>90</c:v>
                </c:pt>
                <c:pt idx="8">
                  <c:v>91</c:v>
                </c:pt>
                <c:pt idx="9">
                  <c:v>94</c:v>
                </c:pt>
                <c:pt idx="10">
                  <c:v>84</c:v>
                </c:pt>
                <c:pt idx="11">
                  <c:v>81</c:v>
                </c:pt>
                <c:pt idx="12">
                  <c:v>91</c:v>
                </c:pt>
                <c:pt idx="13">
                  <c:v>82</c:v>
                </c:pt>
                <c:pt idx="14">
                  <c:v>87</c:v>
                </c:pt>
                <c:pt idx="15">
                  <c:v>89</c:v>
                </c:pt>
                <c:pt idx="16">
                  <c:v>94</c:v>
                </c:pt>
                <c:pt idx="17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6-48F5-B1FD-51AEF9BBB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851680"/>
        <c:axId val="1413855008"/>
      </c:barChart>
      <c:catAx>
        <c:axId val="141385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55008"/>
        <c:crosses val="autoZero"/>
        <c:auto val="1"/>
        <c:lblAlgn val="ctr"/>
        <c:lblOffset val="100"/>
        <c:noMultiLvlLbl val="0"/>
      </c:catAx>
      <c:valAx>
        <c:axId val="141385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51680"/>
        <c:crosses val="autoZero"/>
        <c:crossBetween val="between"/>
      </c:valAx>
      <c:spPr>
        <a:noFill/>
        <a:ln>
          <a:solidFill>
            <a:schemeClr val="accent2">
              <a:lumMod val="40000"/>
              <a:lumOff val="6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0</xdr:row>
      <xdr:rowOff>371475</xdr:rowOff>
    </xdr:from>
    <xdr:to>
      <xdr:col>20</xdr:col>
      <xdr:colOff>95250</xdr:colOff>
      <xdr:row>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328612</xdr:colOff>
      <xdr:row>8</xdr:row>
      <xdr:rowOff>0</xdr:rowOff>
    </xdr:from>
    <xdr:to>
      <xdr:col>20</xdr:col>
      <xdr:colOff>238125</xdr:colOff>
      <xdr:row>21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361950</xdr:colOff>
      <xdr:row>22</xdr:row>
      <xdr:rowOff>85725</xdr:rowOff>
    </xdr:from>
    <xdr:to>
      <xdr:col>20</xdr:col>
      <xdr:colOff>271463</xdr:colOff>
      <xdr:row>35</xdr:row>
      <xdr:rowOff>123825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zoomScale="65" zoomScaleNormal="65" workbookViewId="0">
      <selection activeCell="Y21" sqref="Y21"/>
    </sheetView>
  </sheetViews>
  <sheetFormatPr defaultRowHeight="15" x14ac:dyDescent="0.25"/>
  <cols>
    <col min="1" max="1" width="11.5703125" bestFit="1" customWidth="1"/>
    <col min="2" max="2" width="11" bestFit="1" customWidth="1"/>
    <col min="3" max="3" width="7" bestFit="1" customWidth="1"/>
    <col min="4" max="5" width="7.42578125" bestFit="1" customWidth="1"/>
    <col min="6" max="6" width="6.140625" bestFit="1" customWidth="1"/>
    <col min="8" max="11" width="9.28515625" bestFit="1" customWidth="1"/>
    <col min="13" max="13" width="9.28515625" bestFit="1" customWidth="1"/>
  </cols>
  <sheetData>
    <row r="1" spans="1:13" ht="128.25" x14ac:dyDescent="0.25">
      <c r="A1" t="s">
        <v>0</v>
      </c>
      <c r="C1" s="1" t="s">
        <v>37</v>
      </c>
      <c r="D1" s="1" t="s">
        <v>38</v>
      </c>
      <c r="E1" s="1" t="s">
        <v>39</v>
      </c>
      <c r="F1" s="1" t="s">
        <v>40</v>
      </c>
      <c r="H1" s="1" t="s">
        <v>37</v>
      </c>
      <c r="I1" s="1" t="s">
        <v>38</v>
      </c>
      <c r="J1" s="1" t="s">
        <v>39</v>
      </c>
      <c r="K1" s="1" t="s">
        <v>40</v>
      </c>
      <c r="M1" s="1" t="s">
        <v>41</v>
      </c>
    </row>
    <row r="2" spans="1:13" x14ac:dyDescent="0.25">
      <c r="C2">
        <v>10</v>
      </c>
      <c r="D2">
        <v>20</v>
      </c>
      <c r="E2">
        <v>100</v>
      </c>
      <c r="F2">
        <v>1</v>
      </c>
    </row>
    <row r="3" spans="1:13" x14ac:dyDescent="0.25">
      <c r="A3" t="s">
        <v>1</v>
      </c>
      <c r="B3" t="s">
        <v>2</v>
      </c>
      <c r="C3">
        <v>10</v>
      </c>
      <c r="D3">
        <v>19</v>
      </c>
      <c r="E3">
        <v>87</v>
      </c>
      <c r="F3">
        <v>1</v>
      </c>
      <c r="H3" s="2">
        <f>(C3/C$2)</f>
        <v>1</v>
      </c>
      <c r="I3" s="2">
        <f t="shared" ref="I3:K18" si="0">(D3/D$2)</f>
        <v>0.95</v>
      </c>
      <c r="J3" s="2">
        <f t="shared" si="0"/>
        <v>0.87</v>
      </c>
      <c r="K3" s="2">
        <f t="shared" si="0"/>
        <v>1</v>
      </c>
      <c r="M3" s="2" t="b">
        <f>OR(H3&lt;0.7,I3&lt;0.7,J3&lt;0.7,K3&lt;0.7)</f>
        <v>0</v>
      </c>
    </row>
    <row r="4" spans="1:13" x14ac:dyDescent="0.25">
      <c r="A4" t="s">
        <v>3</v>
      </c>
      <c r="B4" t="s">
        <v>4</v>
      </c>
      <c r="C4">
        <v>7</v>
      </c>
      <c r="D4">
        <v>19</v>
      </c>
      <c r="E4">
        <v>92</v>
      </c>
      <c r="F4">
        <v>1</v>
      </c>
      <c r="H4" s="2">
        <f t="shared" ref="H4:H20" si="1">(C4/C$2)</f>
        <v>0.7</v>
      </c>
      <c r="I4" s="2">
        <f t="shared" si="0"/>
        <v>0.95</v>
      </c>
      <c r="J4" s="2">
        <f t="shared" si="0"/>
        <v>0.92</v>
      </c>
      <c r="K4" s="2">
        <f t="shared" si="0"/>
        <v>1</v>
      </c>
      <c r="M4" s="2" t="b">
        <f t="shared" ref="M4:M20" si="2">OR(H4&lt;0.7,I4&lt;0.7,J4&lt;0.7,K4&lt;0.7)</f>
        <v>0</v>
      </c>
    </row>
    <row r="5" spans="1:13" x14ac:dyDescent="0.25">
      <c r="A5" t="s">
        <v>5</v>
      </c>
      <c r="B5" t="s">
        <v>6</v>
      </c>
      <c r="C5">
        <v>9</v>
      </c>
      <c r="D5">
        <v>19</v>
      </c>
      <c r="E5">
        <v>95</v>
      </c>
      <c r="F5">
        <v>0</v>
      </c>
      <c r="H5" s="2">
        <f t="shared" si="1"/>
        <v>0.9</v>
      </c>
      <c r="I5" s="2">
        <f t="shared" si="0"/>
        <v>0.95</v>
      </c>
      <c r="J5" s="2">
        <f t="shared" si="0"/>
        <v>0.95</v>
      </c>
      <c r="K5" s="2">
        <f t="shared" si="0"/>
        <v>0</v>
      </c>
      <c r="M5" s="2" t="b">
        <f t="shared" si="2"/>
        <v>1</v>
      </c>
    </row>
    <row r="6" spans="1:13" x14ac:dyDescent="0.25">
      <c r="A6" t="s">
        <v>7</v>
      </c>
      <c r="B6" t="s">
        <v>8</v>
      </c>
      <c r="C6">
        <v>7</v>
      </c>
      <c r="D6">
        <v>19</v>
      </c>
      <c r="E6">
        <v>97</v>
      </c>
      <c r="F6">
        <v>0</v>
      </c>
      <c r="H6" s="2">
        <f t="shared" si="1"/>
        <v>0.7</v>
      </c>
      <c r="I6" s="2">
        <f t="shared" si="0"/>
        <v>0.95</v>
      </c>
      <c r="J6" s="2">
        <f t="shared" si="0"/>
        <v>0.97</v>
      </c>
      <c r="K6" s="2">
        <f t="shared" si="0"/>
        <v>0</v>
      </c>
      <c r="M6" s="2" t="b">
        <f t="shared" si="2"/>
        <v>1</v>
      </c>
    </row>
    <row r="7" spans="1:13" x14ac:dyDescent="0.25">
      <c r="A7" t="s">
        <v>9</v>
      </c>
      <c r="B7" t="s">
        <v>10</v>
      </c>
      <c r="C7">
        <v>9</v>
      </c>
      <c r="D7">
        <v>20</v>
      </c>
      <c r="E7">
        <v>91</v>
      </c>
      <c r="F7">
        <v>0</v>
      </c>
      <c r="H7" s="2">
        <f t="shared" si="1"/>
        <v>0.9</v>
      </c>
      <c r="I7" s="2">
        <f t="shared" si="0"/>
        <v>1</v>
      </c>
      <c r="J7" s="2">
        <f t="shared" si="0"/>
        <v>0.91</v>
      </c>
      <c r="K7" s="2">
        <f t="shared" si="0"/>
        <v>0</v>
      </c>
      <c r="M7" s="2" t="b">
        <f t="shared" si="2"/>
        <v>1</v>
      </c>
    </row>
    <row r="8" spans="1:13" x14ac:dyDescent="0.25">
      <c r="A8" t="s">
        <v>11</v>
      </c>
      <c r="B8" t="s">
        <v>12</v>
      </c>
      <c r="C8">
        <v>9</v>
      </c>
      <c r="D8">
        <v>17</v>
      </c>
      <c r="E8">
        <v>99</v>
      </c>
      <c r="F8">
        <v>0</v>
      </c>
      <c r="H8" s="2">
        <f t="shared" si="1"/>
        <v>0.9</v>
      </c>
      <c r="I8" s="2">
        <f t="shared" si="0"/>
        <v>0.85</v>
      </c>
      <c r="J8" s="2">
        <f t="shared" si="0"/>
        <v>0.99</v>
      </c>
      <c r="K8" s="2">
        <f t="shared" si="0"/>
        <v>0</v>
      </c>
      <c r="M8" s="2" t="b">
        <f t="shared" si="2"/>
        <v>1</v>
      </c>
    </row>
    <row r="9" spans="1:13" x14ac:dyDescent="0.25">
      <c r="A9" t="s">
        <v>13</v>
      </c>
      <c r="B9" t="s">
        <v>14</v>
      </c>
      <c r="C9">
        <v>6</v>
      </c>
      <c r="D9">
        <v>18</v>
      </c>
      <c r="E9">
        <v>84</v>
      </c>
      <c r="F9">
        <v>1</v>
      </c>
      <c r="H9" s="2">
        <f t="shared" si="1"/>
        <v>0.6</v>
      </c>
      <c r="I9" s="2">
        <f t="shared" si="0"/>
        <v>0.9</v>
      </c>
      <c r="J9" s="2">
        <f t="shared" si="0"/>
        <v>0.84</v>
      </c>
      <c r="K9" s="2">
        <f t="shared" si="0"/>
        <v>1</v>
      </c>
      <c r="M9" s="2" t="b">
        <f t="shared" si="2"/>
        <v>1</v>
      </c>
    </row>
    <row r="10" spans="1:13" x14ac:dyDescent="0.25">
      <c r="A10" t="s">
        <v>15</v>
      </c>
      <c r="B10" t="s">
        <v>16</v>
      </c>
      <c r="C10">
        <v>7</v>
      </c>
      <c r="D10">
        <v>19</v>
      </c>
      <c r="E10">
        <v>90</v>
      </c>
      <c r="F10">
        <v>0</v>
      </c>
      <c r="H10" s="2">
        <f t="shared" si="1"/>
        <v>0.7</v>
      </c>
      <c r="I10" s="2">
        <f t="shared" si="0"/>
        <v>0.95</v>
      </c>
      <c r="J10" s="2">
        <f t="shared" si="0"/>
        <v>0.9</v>
      </c>
      <c r="K10" s="2">
        <f t="shared" si="0"/>
        <v>0</v>
      </c>
      <c r="M10" s="2" t="b">
        <f t="shared" si="2"/>
        <v>1</v>
      </c>
    </row>
    <row r="11" spans="1:13" x14ac:dyDescent="0.25">
      <c r="A11" t="s">
        <v>17</v>
      </c>
      <c r="B11" t="s">
        <v>18</v>
      </c>
      <c r="C11">
        <v>8</v>
      </c>
      <c r="D11">
        <v>20</v>
      </c>
      <c r="E11">
        <v>91</v>
      </c>
      <c r="F11">
        <v>1</v>
      </c>
      <c r="H11" s="2">
        <f t="shared" si="1"/>
        <v>0.8</v>
      </c>
      <c r="I11" s="2">
        <f t="shared" si="0"/>
        <v>1</v>
      </c>
      <c r="J11" s="2">
        <f t="shared" si="0"/>
        <v>0.91</v>
      </c>
      <c r="K11" s="2">
        <f t="shared" si="0"/>
        <v>1</v>
      </c>
      <c r="M11" s="2" t="b">
        <f t="shared" si="2"/>
        <v>0</v>
      </c>
    </row>
    <row r="12" spans="1:13" x14ac:dyDescent="0.25">
      <c r="A12" t="s">
        <v>19</v>
      </c>
      <c r="B12" t="s">
        <v>20</v>
      </c>
      <c r="C12">
        <v>8</v>
      </c>
      <c r="D12">
        <v>19</v>
      </c>
      <c r="E12">
        <v>94</v>
      </c>
      <c r="F12">
        <v>0</v>
      </c>
      <c r="H12" s="2">
        <f>(C12/C$2)</f>
        <v>0.8</v>
      </c>
      <c r="I12" s="2">
        <f t="shared" si="0"/>
        <v>0.95</v>
      </c>
      <c r="J12" s="2">
        <f t="shared" si="0"/>
        <v>0.94</v>
      </c>
      <c r="K12" s="2">
        <f t="shared" si="0"/>
        <v>0</v>
      </c>
      <c r="M12" s="2" t="b">
        <f t="shared" si="2"/>
        <v>1</v>
      </c>
    </row>
    <row r="13" spans="1:13" x14ac:dyDescent="0.25">
      <c r="A13" t="s">
        <v>21</v>
      </c>
      <c r="B13" t="s">
        <v>22</v>
      </c>
      <c r="C13">
        <v>10</v>
      </c>
      <c r="D13">
        <v>20</v>
      </c>
      <c r="E13">
        <v>84</v>
      </c>
      <c r="F13">
        <v>0</v>
      </c>
      <c r="H13" s="2">
        <f t="shared" si="1"/>
        <v>1</v>
      </c>
      <c r="I13" s="2">
        <f t="shared" si="0"/>
        <v>1</v>
      </c>
      <c r="J13" s="2">
        <f t="shared" si="0"/>
        <v>0.84</v>
      </c>
      <c r="K13" s="2">
        <f t="shared" si="0"/>
        <v>0</v>
      </c>
      <c r="M13" s="2" t="b">
        <f t="shared" si="2"/>
        <v>1</v>
      </c>
    </row>
    <row r="14" spans="1:13" x14ac:dyDescent="0.25">
      <c r="A14" t="s">
        <v>23</v>
      </c>
      <c r="B14" t="s">
        <v>24</v>
      </c>
      <c r="C14">
        <v>8</v>
      </c>
      <c r="D14">
        <v>15</v>
      </c>
      <c r="E14">
        <v>81</v>
      </c>
      <c r="F14">
        <v>0</v>
      </c>
      <c r="H14" s="2">
        <f t="shared" si="1"/>
        <v>0.8</v>
      </c>
      <c r="I14" s="2">
        <f t="shared" si="0"/>
        <v>0.75</v>
      </c>
      <c r="J14" s="2">
        <f t="shared" si="0"/>
        <v>0.81</v>
      </c>
      <c r="K14" s="2">
        <f t="shared" si="0"/>
        <v>0</v>
      </c>
      <c r="M14" s="2" t="b">
        <f t="shared" si="2"/>
        <v>1</v>
      </c>
    </row>
    <row r="15" spans="1:13" x14ac:dyDescent="0.25">
      <c r="A15" t="s">
        <v>25</v>
      </c>
      <c r="B15" t="s">
        <v>26</v>
      </c>
      <c r="C15">
        <v>10</v>
      </c>
      <c r="D15">
        <v>16</v>
      </c>
      <c r="E15">
        <v>91</v>
      </c>
      <c r="F15">
        <v>1</v>
      </c>
      <c r="H15" s="2">
        <f t="shared" si="1"/>
        <v>1</v>
      </c>
      <c r="I15" s="2">
        <f t="shared" si="0"/>
        <v>0.8</v>
      </c>
      <c r="J15" s="2">
        <f t="shared" si="0"/>
        <v>0.91</v>
      </c>
      <c r="K15" s="2">
        <f t="shared" si="0"/>
        <v>1</v>
      </c>
      <c r="M15" s="2" t="b">
        <f t="shared" si="2"/>
        <v>0</v>
      </c>
    </row>
    <row r="16" spans="1:13" x14ac:dyDescent="0.25">
      <c r="A16" t="s">
        <v>27</v>
      </c>
      <c r="B16" t="s">
        <v>28</v>
      </c>
      <c r="C16">
        <v>10</v>
      </c>
      <c r="D16">
        <v>19</v>
      </c>
      <c r="E16">
        <v>82</v>
      </c>
      <c r="F16">
        <v>1</v>
      </c>
      <c r="H16" s="2">
        <f t="shared" si="1"/>
        <v>1</v>
      </c>
      <c r="I16" s="2">
        <f t="shared" si="0"/>
        <v>0.95</v>
      </c>
      <c r="J16" s="2">
        <f t="shared" si="0"/>
        <v>0.82</v>
      </c>
      <c r="K16" s="2">
        <f t="shared" si="0"/>
        <v>1</v>
      </c>
      <c r="M16" s="2" t="b">
        <f t="shared" si="2"/>
        <v>0</v>
      </c>
    </row>
    <row r="17" spans="1:13" x14ac:dyDescent="0.25">
      <c r="A17" t="s">
        <v>29</v>
      </c>
      <c r="B17" t="s">
        <v>30</v>
      </c>
      <c r="C17">
        <v>10</v>
      </c>
      <c r="D17">
        <v>19</v>
      </c>
      <c r="E17">
        <v>87</v>
      </c>
      <c r="F17">
        <v>1</v>
      </c>
      <c r="H17" s="2">
        <f t="shared" si="1"/>
        <v>1</v>
      </c>
      <c r="I17" s="2">
        <f t="shared" si="0"/>
        <v>0.95</v>
      </c>
      <c r="J17" s="2">
        <f t="shared" si="0"/>
        <v>0.87</v>
      </c>
      <c r="K17" s="2">
        <f t="shared" si="0"/>
        <v>1</v>
      </c>
      <c r="M17" s="2" t="b">
        <f t="shared" si="2"/>
        <v>0</v>
      </c>
    </row>
    <row r="18" spans="1:13" x14ac:dyDescent="0.25">
      <c r="A18" t="s">
        <v>31</v>
      </c>
      <c r="B18" t="s">
        <v>32</v>
      </c>
      <c r="C18">
        <v>9</v>
      </c>
      <c r="D18">
        <v>17</v>
      </c>
      <c r="E18">
        <v>89</v>
      </c>
      <c r="F18">
        <v>0</v>
      </c>
      <c r="H18" s="2">
        <f t="shared" si="1"/>
        <v>0.9</v>
      </c>
      <c r="I18" s="2">
        <f t="shared" si="0"/>
        <v>0.85</v>
      </c>
      <c r="J18" s="2">
        <f t="shared" si="0"/>
        <v>0.89</v>
      </c>
      <c r="K18" s="2">
        <f t="shared" si="0"/>
        <v>0</v>
      </c>
      <c r="M18" s="2" t="b">
        <f t="shared" si="2"/>
        <v>1</v>
      </c>
    </row>
    <row r="19" spans="1:13" x14ac:dyDescent="0.25">
      <c r="A19" t="s">
        <v>33</v>
      </c>
      <c r="B19" t="s">
        <v>34</v>
      </c>
      <c r="C19">
        <v>9</v>
      </c>
      <c r="D19">
        <v>16</v>
      </c>
      <c r="E19">
        <v>94</v>
      </c>
      <c r="F19">
        <v>1</v>
      </c>
      <c r="H19" s="2">
        <f t="shared" si="1"/>
        <v>0.9</v>
      </c>
      <c r="I19" s="2">
        <f t="shared" ref="I19:I20" si="3">(D19/D$2)</f>
        <v>0.8</v>
      </c>
      <c r="J19" s="2">
        <f t="shared" ref="J19:J20" si="4">(E19/E$2)</f>
        <v>0.94</v>
      </c>
      <c r="K19" s="2">
        <f t="shared" ref="K19:K20" si="5">(F19/F$2)</f>
        <v>1</v>
      </c>
      <c r="M19" s="2" t="b">
        <f t="shared" si="2"/>
        <v>0</v>
      </c>
    </row>
    <row r="20" spans="1:13" x14ac:dyDescent="0.25">
      <c r="A20" t="s">
        <v>35</v>
      </c>
      <c r="B20" t="s">
        <v>36</v>
      </c>
      <c r="C20">
        <v>10</v>
      </c>
      <c r="D20">
        <v>20</v>
      </c>
      <c r="E20">
        <v>81</v>
      </c>
      <c r="F20">
        <v>0</v>
      </c>
      <c r="H20" s="2">
        <f t="shared" si="1"/>
        <v>1</v>
      </c>
      <c r="I20" s="2">
        <f t="shared" si="3"/>
        <v>1</v>
      </c>
      <c r="J20" s="2">
        <f t="shared" si="4"/>
        <v>0.81</v>
      </c>
      <c r="K20" s="2">
        <f t="shared" si="5"/>
        <v>0</v>
      </c>
      <c r="M20" s="2" t="b">
        <f t="shared" si="2"/>
        <v>1</v>
      </c>
    </row>
    <row r="22" spans="1:13" x14ac:dyDescent="0.25">
      <c r="A22" t="s">
        <v>42</v>
      </c>
      <c r="C22" s="3">
        <f t="shared" ref="C22:F22" si="6">MAX(C3:C19)</f>
        <v>10</v>
      </c>
      <c r="D22" s="3">
        <f t="shared" si="6"/>
        <v>20</v>
      </c>
      <c r="E22" s="3">
        <f t="shared" si="6"/>
        <v>99</v>
      </c>
      <c r="F22" s="3">
        <f t="shared" si="6"/>
        <v>1</v>
      </c>
      <c r="H22" s="2">
        <f t="shared" ref="H22:K22" si="7">MAX(H3:H19)</f>
        <v>1</v>
      </c>
      <c r="I22" s="2">
        <f t="shared" si="7"/>
        <v>1</v>
      </c>
      <c r="J22" s="2">
        <f t="shared" si="7"/>
        <v>0.99</v>
      </c>
      <c r="K22" s="2">
        <f t="shared" si="7"/>
        <v>1</v>
      </c>
    </row>
    <row r="23" spans="1:13" x14ac:dyDescent="0.25">
      <c r="A23" t="s">
        <v>43</v>
      </c>
      <c r="C23" s="3">
        <f t="shared" ref="C23:F23" si="8">MIN(C3:C19)</f>
        <v>6</v>
      </c>
      <c r="D23" s="3">
        <f t="shared" si="8"/>
        <v>15</v>
      </c>
      <c r="E23" s="3">
        <f t="shared" si="8"/>
        <v>81</v>
      </c>
      <c r="F23" s="3">
        <f t="shared" si="8"/>
        <v>0</v>
      </c>
      <c r="H23" s="2">
        <f t="shared" ref="H23:J23" si="9">MIN(H3:H19)</f>
        <v>0.6</v>
      </c>
      <c r="I23" s="2">
        <f t="shared" si="9"/>
        <v>0.75</v>
      </c>
      <c r="J23" s="2">
        <f t="shared" si="9"/>
        <v>0.81</v>
      </c>
      <c r="K23" s="2">
        <f>MIN(K3:K19)</f>
        <v>0</v>
      </c>
    </row>
    <row r="24" spans="1:13" x14ac:dyDescent="0.25">
      <c r="A24" t="s">
        <v>44</v>
      </c>
      <c r="C24" s="3">
        <f t="shared" ref="C24:F24" si="10">AVERAGE(C3:C19)</f>
        <v>8.5882352941176467</v>
      </c>
      <c r="D24" s="3">
        <f t="shared" si="10"/>
        <v>18.294117647058822</v>
      </c>
      <c r="E24" s="3">
        <f t="shared" si="10"/>
        <v>89.882352941176464</v>
      </c>
      <c r="F24" s="3">
        <f t="shared" si="10"/>
        <v>0.47058823529411764</v>
      </c>
      <c r="H24" s="2">
        <f t="shared" ref="H24:K24" si="11">AVERAGE(H3:H19)</f>
        <v>0.85882352941176476</v>
      </c>
      <c r="I24" s="2">
        <f t="shared" si="11"/>
        <v>0.91470588235294115</v>
      </c>
      <c r="J24" s="2">
        <f t="shared" si="11"/>
        <v>0.89882352941176469</v>
      </c>
      <c r="K24" s="2">
        <f t="shared" si="11"/>
        <v>0.47058823529411764</v>
      </c>
    </row>
    <row r="25" spans="1:13" x14ac:dyDescent="0.25">
      <c r="C25" s="3"/>
    </row>
  </sheetData>
  <conditionalFormatting sqref="C3:C20">
    <cfRule type="iconSet" priority="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3:D20">
    <cfRule type="iconSet" priority="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3:E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3:F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3:K20 M3:M20">
    <cfRule type="cellIs" dxfId="3" priority="4" operator="lessThan">
      <formula>0.5</formula>
    </cfRule>
    <cfRule type="cellIs" dxfId="2" priority="3" operator="lessThan">
      <formula>0.75</formula>
    </cfRule>
  </conditionalFormatting>
  <conditionalFormatting sqref="M3:M20">
    <cfRule type="cellIs" dxfId="1" priority="2" operator="equal">
      <formula>TRUE</formula>
    </cfRule>
  </conditionalFormatting>
  <conditionalFormatting sqref="H3:K20">
    <cfRule type="cellIs" dxfId="0" priority="1" operator="lessThan">
      <formula>0.7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Shareen</dc:creator>
  <cp:lastModifiedBy>Shareen</cp:lastModifiedBy>
  <dcterms:created xsi:type="dcterms:W3CDTF">2026-07-25T10:58:15Z</dcterms:created>
  <dcterms:modified xsi:type="dcterms:W3CDTF">2026-07-25T14:08:47Z</dcterms:modified>
</cp:coreProperties>
</file>