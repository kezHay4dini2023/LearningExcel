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xr:revisionPtr revIDLastSave="0" documentId="13_ncr:1_{B1A0DB36-4C3F-468B-954B-B1FAF61E35FA}" xr6:coauthVersionLast="47" xr6:coauthVersionMax="47" xr10:uidLastSave="{00000000-0000-0000-0000-000000000000}"/>
  <bookViews>
    <workbookView xWindow="-120" yWindow="-120" windowWidth="20730" windowHeight="11160" activeTab="2" xr2:uid="{5344C77C-132B-45DC-AC0C-B651EB5E5F81}"/>
  </bookViews>
  <sheets>
    <sheet name="SchoolShopping" sheetId="1" r:id="rId1"/>
    <sheet name="Humane Society Pets Adoption" sheetId="4" r:id="rId2"/>
    <sheet name="3vacatio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D32" i="5"/>
  <c r="B32" i="5"/>
  <c r="D24" i="5"/>
  <c r="C24" i="5"/>
  <c r="B24" i="5"/>
  <c r="C57" i="5"/>
  <c r="D57" i="5"/>
  <c r="B57" i="5"/>
  <c r="D63" i="5"/>
  <c r="D65" i="5" s="1"/>
  <c r="C63" i="5"/>
  <c r="B63" i="5"/>
  <c r="D51" i="5"/>
  <c r="C51" i="5"/>
  <c r="B51" i="5"/>
  <c r="D46" i="5"/>
  <c r="C46" i="5"/>
  <c r="B46" i="5"/>
  <c r="C18" i="5"/>
  <c r="D18" i="5"/>
  <c r="B18" i="5"/>
  <c r="C13" i="5"/>
  <c r="D13" i="5"/>
  <c r="B13" i="5"/>
  <c r="C30" i="5"/>
  <c r="D30" i="5"/>
  <c r="B30" i="5"/>
  <c r="E4" i="4"/>
  <c r="E3" i="4"/>
  <c r="D4" i="4"/>
  <c r="D3" i="4"/>
  <c r="C4" i="4"/>
  <c r="C3" i="4"/>
  <c r="R4" i="1"/>
  <c r="R3" i="1"/>
  <c r="R2" i="1"/>
  <c r="Q4" i="1"/>
  <c r="Q3" i="1"/>
  <c r="Q2" i="1"/>
  <c r="I17" i="1"/>
  <c r="J17" i="1"/>
  <c r="K17" i="1"/>
  <c r="L17" i="1"/>
  <c r="M17" i="1"/>
  <c r="H17" i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L2" i="1"/>
  <c r="M2" i="1"/>
  <c r="K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I2" i="1"/>
  <c r="J2" i="1"/>
  <c r="H2" i="1"/>
  <c r="B65" i="5" l="1"/>
  <c r="C65" i="5"/>
</calcChain>
</file>

<file path=xl/sharedStrings.xml><?xml version="1.0" encoding="utf-8"?>
<sst xmlns="http://schemas.openxmlformats.org/spreadsheetml/2006/main" count="109" uniqueCount="62">
  <si>
    <t>Item</t>
  </si>
  <si>
    <t>Ball Point Pen</t>
  </si>
  <si>
    <t>TI-35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</si>
  <si>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</si>
  <si>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</si>
  <si>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</si>
  <si>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</si>
  <si>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</si>
  <si>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</si>
  <si>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</si>
  <si>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</si>
  <si>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</si>
  <si>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Planner Book</t>
  </si>
  <si>
    <t>Protractor</t>
  </si>
  <si>
    <t>Compass</t>
  </si>
  <si>
    <t>Liquid Paper</t>
  </si>
  <si>
    <t xml:space="preserve">Wal-Mart </t>
  </si>
  <si>
    <t>Dollar Trap</t>
  </si>
  <si>
    <t>Office Repo</t>
  </si>
  <si>
    <t>Susan</t>
  </si>
  <si>
    <t>Tim</t>
  </si>
  <si>
    <t>Susan W</t>
  </si>
  <si>
    <t>Susan D</t>
  </si>
  <si>
    <t>Susan OR</t>
  </si>
  <si>
    <t>Tim WM</t>
  </si>
  <si>
    <t>Tim DT</t>
  </si>
  <si>
    <t>Tim OR</t>
  </si>
  <si>
    <t xml:space="preserve">Susan </t>
  </si>
  <si>
    <t xml:space="preserve">Store </t>
  </si>
  <si>
    <t>Wal-Mart</t>
  </si>
  <si>
    <t>Pets</t>
  </si>
  <si>
    <t>Accessory</t>
  </si>
  <si>
    <t>adoption fee</t>
  </si>
  <si>
    <t>Cat</t>
  </si>
  <si>
    <t>Dog</t>
  </si>
  <si>
    <t>Supplies (1 Year)</t>
  </si>
  <si>
    <t>Total</t>
  </si>
  <si>
    <t xml:space="preserve">Vacations </t>
  </si>
  <si>
    <t xml:space="preserve">Carribean Cruise </t>
  </si>
  <si>
    <t>Orlando Them Park</t>
  </si>
  <si>
    <t xml:space="preserve">Chicago Museum </t>
  </si>
  <si>
    <t>Air Fare Rates</t>
  </si>
  <si>
    <t>Hotel</t>
  </si>
  <si>
    <t>Food</t>
  </si>
  <si>
    <t>Car rental</t>
  </si>
  <si>
    <t>Susans</t>
  </si>
  <si>
    <t>Disneyland</t>
  </si>
  <si>
    <t>Universal</t>
  </si>
  <si>
    <t>Sea World</t>
  </si>
  <si>
    <t>Busch Garden</t>
  </si>
  <si>
    <t>Natural Museum</t>
  </si>
  <si>
    <t>Chicago MA</t>
  </si>
  <si>
    <t>Science M</t>
  </si>
  <si>
    <t>M. broadCast Ht.</t>
  </si>
  <si>
    <t xml:space="preserve">Cruise </t>
  </si>
  <si>
    <t>basic necessities</t>
  </si>
  <si>
    <t>Fare</t>
  </si>
  <si>
    <t>No.People</t>
  </si>
  <si>
    <t xml:space="preserve">Days </t>
  </si>
  <si>
    <t>Total necessities</t>
  </si>
  <si>
    <t>Ind.necessities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</si>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</sst>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5" borderId="0" xfId="0" applyFill="1"/>
    <xf numFmtId="0" fontId="0" fillId="6" borderId="0" xfId="0" applyFill="1"/>
    <xf numFmtId="44" fontId="0" fillId="2" borderId="0" xfId="1" applyFont="1" applyFill="1"/>
    <xf numFmtId="44" fontId="0" fillId="3" borderId="0" xfId="1" applyFont="1" applyFill="1"/>
    <xf numFmtId="44" fontId="2" fillId="4" borderId="0" xfId="1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0" fillId="7" borderId="0" xfId="0" applyFill="1"/>
    <xf numFmtId="0" fontId="0" fillId="4" borderId="0" xfId="0" applyFill="1"/>
    <xf numFmtId="44" fontId="0" fillId="4" borderId="0" xfId="1" applyFont="1" applyFill="1"/>
    <xf numFmtId="44" fontId="0" fillId="7" borderId="0" xfId="1" applyFont="1" applyFill="1"/>
    <xf numFmtId="0" fontId="0" fillId="2" borderId="0" xfId="0" applyFill="1"/>
    <xf numFmtId="44" fontId="0" fillId="4" borderId="0" xfId="0" applyNumberFormat="1" applyFill="1"/>
    <xf numFmtId="44" fontId="0" fillId="5" borderId="0" xfId="0" applyNumberFormat="1" applyFill="1"/>
    <xf numFmtId="0" fontId="0" fillId="0" borderId="0" xfId="0" applyFill="1"/>
    <xf numFmtId="0" fontId="0" fillId="3" borderId="0" xfId="1" applyNumberFormat="1" applyFont="1" applyFill="1"/>
    <xf numFmtId="44" fontId="0" fillId="3" borderId="0" xfId="1" applyNumberFormat="1" applyFont="1" applyFill="1"/>
    <xf numFmtId="44" fontId="0" fillId="7" borderId="0" xfId="0" applyNumberFormat="1" applyFill="1"/>
    <xf numFmtId="44" fontId="0" fillId="0" borderId="0" xfId="0" applyNumberFormat="1" applyFill="1"/>
    <xf numFmtId="44" fontId="0" fillId="3" borderId="0" xfId="0" applyNumberFormat="1" applyFill="1"/>
    <xf numFmtId="0" fontId="0" fillId="8" borderId="0" xfId="0" applyFill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SchoolShopping!$Q$1</c:f>
              <c:strCache>
                <c:ptCount val="1"/>
                <c:pt idx="0">
                  <c:v>Susan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SchoolShopping!$P$2:$P$4</c:f>
              <c:strCache>
                <c:ptCount val="3"/>
                <c:pt idx="0">
                  <c:v>Wal-Mart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SchoolShopping!$Q$2:$Q$4</c:f>
              <c:numCache>
                <c:formatCode>_("$"* #,##0.00_);_("$"* \(#,##0.00\);_("$"* "-"??_);_(@_)</c:formatCode>
                <c:ptCount val="3"/>
                <c:pt idx="0">
                  <c:v>119.7</c:v>
                </c:pt>
                <c:pt idx="1">
                  <c:v>125.85000000000001</c:v>
                </c:pt>
                <c:pt idx="2">
                  <c:v>157.6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6-4DAC-8940-58ABE2CF8F90}"/>
            </c:ext>
          </c:extLst>
        </c:ser>
        <c:ser>
          <c:idx val="1"/>
          <c:order val="1"/>
          <c:tx>
            <c:strRef>
              <c:f>SchoolShopping!$R$1</c:f>
              <c:strCache>
                <c:ptCount val="1"/>
                <c:pt idx="0">
                  <c:v>Tim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SchoolShopping!$P$2:$P$4</c:f>
              <c:strCache>
                <c:ptCount val="3"/>
                <c:pt idx="0">
                  <c:v>Wal-Mart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SchoolShopping!$R$2:$R$4</c:f>
              <c:numCache>
                <c:formatCode>_("$"* #,##0.00_);_("$"* \(#,##0.00\);_("$"* "-"??_);_(@_)</c:formatCode>
                <c:ptCount val="3"/>
                <c:pt idx="0">
                  <c:v>75.899999999999991</c:v>
                </c:pt>
                <c:pt idx="1">
                  <c:v>71.499999999999986</c:v>
                </c:pt>
                <c:pt idx="2">
                  <c:v>108.45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6-4DAC-8940-58ABE2CF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152207"/>
        <c:axId val="31153167"/>
        <c:axId val="0"/>
      </c:bar3DChart>
      <c:catAx>
        <c:axId val="3115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3167"/>
        <c:crosses val="autoZero"/>
        <c:auto val="1"/>
        <c:lblAlgn val="ctr"/>
        <c:lblOffset val="100"/>
        <c:noMultiLvlLbl val="0"/>
      </c:catAx>
      <c:valAx>
        <c:axId val="31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First-Year Pet 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'Humane Society Pets Adoption'!$A$3</c:f>
              <c:strCache>
                <c:ptCount val="1"/>
                <c:pt idx="0">
                  <c:v>Cat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'Humane Society Pets Adoption'!$B$2:$E$2</c:f>
              <c:strCache>
                <c:ptCount val="4"/>
                <c:pt idx="0">
                  <c:v>adoption fee</c:v>
                </c:pt>
                <c:pt idx="1">
                  <c:v>Accessory</c:v>
                </c:pt>
                <c:pt idx="2">
                  <c:v>Supplies (1 Year)</c:v>
                </c:pt>
                <c:pt idx="3">
                  <c:v>Total</c:v>
                </c:pt>
              </c:strCache>
            </c:strRef>
          </c:cat>
          <c:val>
            <c:numRef>
              <c:f>'Humane Society Pets Adoption'!$B$3:$E$3</c:f>
              <c:numCache>
                <c:formatCode>_("$"* #,##0.00_);_("$"* \(#,##0.00\);_("$"* "-"??_);_(@_)</c:formatCode>
                <c:ptCount val="4"/>
                <c:pt idx="0">
                  <c:v>90</c:v>
                </c:pt>
                <c:pt idx="1">
                  <c:v>13.5</c:v>
                </c:pt>
                <c:pt idx="2">
                  <c:v>228</c:v>
                </c:pt>
                <c:pt idx="3">
                  <c:v>331.5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7-4EEA-B52C-A76FA8F4487A}"/>
            </c:ext>
          </c:extLst>
        </c:ser>
        <c:ser>
          <c:idx val="1"/>
          <c:order val="1"/>
          <c:tx>
            <c:strRef>
              <c:f>'Humane Society Pets Adoption'!$A$4</c:f>
              <c:strCache>
                <c:ptCount val="1"/>
                <c:pt idx="0">
                  <c:v>Dog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'Humane Society Pets Adoption'!$B$2:$E$2</c:f>
              <c:strCache>
                <c:ptCount val="4"/>
                <c:pt idx="0">
                  <c:v>adoption fee</c:v>
                </c:pt>
                <c:pt idx="1">
                  <c:v>Accessory</c:v>
                </c:pt>
                <c:pt idx="2">
                  <c:v>Supplies (1 Year)</c:v>
                </c:pt>
                <c:pt idx="3">
                  <c:v>Total</c:v>
                </c:pt>
              </c:strCache>
            </c:strRef>
          </c:cat>
          <c:val>
            <c:numRef>
              <c:f>'Humane Society Pets Adoption'!$B$4:$E$4</c:f>
              <c:numCache>
                <c:formatCode>_("$"* #,##0.00_);_("$"* \(#,##0.00\);_("$"* "-"??_);_(@_)</c:formatCode>
                <c:ptCount val="4"/>
                <c:pt idx="0">
                  <c:v>50</c:v>
                </c:pt>
                <c:pt idx="1">
                  <c:v>18</c:v>
                </c:pt>
                <c:pt idx="2">
                  <c:v>288</c:v>
                </c:pt>
                <c:pt idx="3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D7-4EEA-B52C-A76FA8F4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545823"/>
        <c:axId val="451548703"/>
      </c:barChart>
      <c:catAx>
        <c:axId val="45154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48703"/>
        <c:crosses val="autoZero"/>
        <c:auto val="1"/>
        <c:lblAlgn val="ctr"/>
        <c:lblOffset val="100"/>
        <c:noMultiLvlLbl val="0"/>
      </c:catAx>
      <c:valAx>
        <c:axId val="4515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4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</a:t>
            </a:r>
            <a:r>
              <a:rPr lang="en-US" baseline="0"/>
              <a:t> Vacation Options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'3vacations'!$A$65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'3vacations'!$B$64:$D$64</c:f>
              <c:strCache>
                <c:ptCount val="3"/>
                <c:pt idx="0">
                  <c:v>Carribean Cruise </c:v>
                </c:pt>
                <c:pt idx="1">
                  <c:v>Orlando Them Park</c:v>
                </c:pt>
                <c:pt idx="2">
                  <c:v>Chicago Museum </c:v>
                </c:pt>
              </c:strCache>
            </c:strRef>
          </c:cat>
          <c:val>
            <c:numRef>
              <c:f>'3vacations'!$B$65:$D$65</c:f>
              <c:numCache>
                <c:formatCode>_("$"* #,##0.00_);_("$"* \(#,##0.00\);_("$"* "-"??_);_(@_)</c:formatCode>
                <c:ptCount val="3"/>
                <c:pt idx="0">
                  <c:v>3600</c:v>
                </c:pt>
                <c:pt idx="1">
                  <c:v>3076</c:v>
                </c:pt>
                <c:pt idx="2">
                  <c:v>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8AD-A437-17A89008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572223"/>
        <c:axId val="451575103"/>
      </c:barChart>
      <c:catAx>
        <c:axId val="4515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5103"/>
        <c:crosses val="autoZero"/>
        <c:auto val="1"/>
        <c:lblAlgn val="ctr"/>
        <c:lblOffset val="100"/>
        <c:noMultiLvlLbl val="0"/>
      </c:catAx>
      <c:valAx>
        <c:axId val="4515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'3vacations'!$A$32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'3vacations'!$B$31:$D$31</c:f>
              <c:strCache>
                <c:ptCount val="3"/>
                <c:pt idx="0">
                  <c:v>Carribean Cruise </c:v>
                </c:pt>
                <c:pt idx="1">
                  <c:v>Orlando Them Park</c:v>
                </c:pt>
                <c:pt idx="2">
                  <c:v>Chicago Museum </c:v>
                </c:pt>
              </c:strCache>
            </c:strRef>
          </c:cat>
          <c:val>
            <c:numRef>
              <c:f>'3vacations'!$B$32:$D$32</c:f>
              <c:numCache>
                <c:formatCode>_("$"* #,##0.00_);_("$"* \(#,##0.00\);_("$"* "-"??_);_(@_)</c:formatCode>
                <c:ptCount val="3"/>
                <c:pt idx="0">
                  <c:v>1800</c:v>
                </c:pt>
                <c:pt idx="1">
                  <c:v>1748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E-417F-B13A-7050DAAD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570303"/>
        <c:axId val="451570783"/>
      </c:barChart>
      <c:catAx>
        <c:axId val="4515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0783"/>
        <c:crosses val="autoZero"/>
        <c:auto val="1"/>
        <c:lblAlgn val="ctr"/>
        <c:lblOffset val="100"/>
        <c:noMultiLvlLbl val="0"/>
      </c:catAx>
      <c:valAx>
        <c:axId val="451570783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7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180974</xdr:colOff>
      <xdr:row>5</xdr:row>
      <xdr:rowOff>38100</xdr:rowOff>
    </xdr:from>
    <xdr:to>
      <xdr:col>20</xdr:col>
      <xdr:colOff>19049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F1ABA-1168-0554-BDF8-8DFEAF30D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</xdr:row>
      <xdr:rowOff>14287</xdr:rowOff>
    </xdr:from>
    <xdr:to>
      <xdr:col>12</xdr:col>
      <xdr:colOff>552450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BBE13-9EE1-600B-D8E8-492B47624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44</xdr:row>
      <xdr:rowOff>119062</xdr:rowOff>
    </xdr:from>
    <xdr:to>
      <xdr:col>13</xdr:col>
      <xdr:colOff>266700</xdr:colOff>
      <xdr:row>59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C959A9-25FA-BE59-113A-EF2E59A6D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520210</xdr:colOff>
      <xdr:row>14</xdr:row>
      <xdr:rowOff>64477</xdr:rowOff>
    </xdr:from>
    <xdr:to>
      <xdr:col>14</xdr:col>
      <xdr:colOff>168518</xdr:colOff>
      <xdr:row>28</xdr:row>
      <xdr:rowOff>140677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C58BB-F26F-2359-3446-243FEDFBC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7AEC2-C942-4F56-911D-94589DC87895}" name="Table1" displayName="Table1" ref="A2:E4" totalsRowShown="0" dataDxfId="0" dataCellStyle="Currency">
  <autoFilter ref="A2:E4" xr:uid="{66A7AEC2-C942-4F56-911D-94589DC87895}"/>
  <tableColumns count="5">
    <tableColumn id="1" xr3:uid="{4CB64636-CA19-437F-B06E-6D4DEB088CD3}" name="Pets"/>
    <tableColumn id="2" xr3:uid="{19192E72-3452-4C38-8C63-DE99A5D32BC3}" name="adoption fee" dataDxfId="4" dataCellStyle="Currency"/>
    <tableColumn id="3" xr3:uid="{2FEEB945-89B3-4A68-B9D0-9C1A9CC7BAF3}" name="Accessory" dataDxfId="3" dataCellStyle="Currency">
      <calculatedColumnFormula>2.5+5.5+7+3</calculatedColumnFormula>
    </tableColumn>
    <tableColumn id="4" xr3:uid="{466A5671-F15F-42B0-B461-A8691A0971B4}" name="Supplies (1 Year)" dataDxfId="2" dataCellStyle="Currency">
      <calculatedColumnFormula>(21+3)*12</calculatedColumnFormula>
    </tableColumn>
    <tableColumn id="5" xr3:uid="{924AB36C-4334-4DCF-B731-C06328305927}" name="Total" dataDxfId="1">
      <calculatedColumnFormula>SUM(B3:D3)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5CE0-BAAA-4150-B545-636B5E2FA027}">
  <dimension ref="A1:R20"/>
  <sheetViews>
    <sheetView zoomScale="90" zoomScaleNormal="90" workbookViewId="0">
      <selection activeCell="I7" sqref="I7"/>
    </sheetView>
  </sheetViews>
  <sheetFormatPr defaultRowHeight="15" x14ac:dyDescent="0.25"/>
  <cols>
    <col min="1" max="1" width="17.7109375" bestFit="1" customWidth="1"/>
    <col min="2" max="4" width="11.140625" bestFit="1" customWidth="1"/>
  </cols>
  <sheetData>
    <row r="1" spans="1:18" x14ac:dyDescent="0.25">
      <c r="A1" t="s">
        <v>0</v>
      </c>
      <c r="B1" t="s">
        <v>16</v>
      </c>
      <c r="C1" t="s">
        <v>17</v>
      </c>
      <c r="D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P1" t="s">
        <v>28</v>
      </c>
      <c r="Q1" t="s">
        <v>19</v>
      </c>
      <c r="R1" t="s">
        <v>20</v>
      </c>
    </row>
    <row r="2" spans="1:18" x14ac:dyDescent="0.25">
      <c r="A2" t="s">
        <v>1</v>
      </c>
      <c r="B2" s="3">
        <v>0.5</v>
      </c>
      <c r="C2" s="4">
        <v>0.4</v>
      </c>
      <c r="D2" s="5">
        <v>1.4</v>
      </c>
      <c r="F2" s="1">
        <v>3</v>
      </c>
      <c r="G2" s="2">
        <v>5</v>
      </c>
      <c r="H2" s="6">
        <f>$F2*B2</f>
        <v>1.5</v>
      </c>
      <c r="I2" s="6">
        <f t="shared" ref="I2:J2" si="0">$F2*C2</f>
        <v>1.2000000000000002</v>
      </c>
      <c r="J2" s="6">
        <f t="shared" si="0"/>
        <v>4.1999999999999993</v>
      </c>
      <c r="K2" s="6">
        <f>$G2*B2</f>
        <v>2.5</v>
      </c>
      <c r="L2" s="6">
        <f t="shared" ref="L2:M2" si="1">$G2*C2</f>
        <v>2</v>
      </c>
      <c r="M2" s="6">
        <f t="shared" si="1"/>
        <v>7</v>
      </c>
      <c r="P2" t="s">
        <v>29</v>
      </c>
      <c r="Q2" s="7">
        <f>SUM(H$2:H$16)</f>
        <v>119.7</v>
      </c>
      <c r="R2" s="7">
        <f>K17</f>
        <v>75.899999999999991</v>
      </c>
    </row>
    <row r="3" spans="1:18" x14ac:dyDescent="0.25">
      <c r="A3" t="s">
        <v>2</v>
      </c>
      <c r="B3" s="3">
        <v>28</v>
      </c>
      <c r="C3" s="4">
        <v>33</v>
      </c>
      <c r="D3" s="5">
        <v>31</v>
      </c>
      <c r="F3" s="1">
        <v>2</v>
      </c>
      <c r="G3" s="2">
        <v>1</v>
      </c>
      <c r="H3" s="6">
        <f t="shared" ref="H3:H16" si="2">$F3*B3</f>
        <v>56</v>
      </c>
      <c r="I3" s="6">
        <f t="shared" ref="I3:I16" si="3">$F3*C3</f>
        <v>66</v>
      </c>
      <c r="J3" s="6">
        <f t="shared" ref="J3:J16" si="4">$F3*D3</f>
        <v>62</v>
      </c>
      <c r="K3" s="6">
        <f t="shared" ref="K3:K16" si="5">$G3*B3</f>
        <v>28</v>
      </c>
      <c r="L3" s="6">
        <f t="shared" ref="L3:L16" si="6">$G3*C3</f>
        <v>33</v>
      </c>
      <c r="M3" s="6">
        <f t="shared" ref="M3:M16" si="7">$G3*D3</f>
        <v>31</v>
      </c>
      <c r="P3" t="s">
        <v>17</v>
      </c>
      <c r="Q3" s="7">
        <f>SUM(I$2:I$16)</f>
        <v>125.85000000000001</v>
      </c>
      <c r="R3" s="7">
        <f>L17</f>
        <v>71.499999999999986</v>
      </c>
    </row>
    <row r="4" spans="1:18" x14ac:dyDescent="0.25">
      <c r="A4" t="s">
        <v>3</v>
      </c>
      <c r="B4" s="3">
        <v>1.8</v>
      </c>
      <c r="C4" s="4">
        <v>1</v>
      </c>
      <c r="D4" s="5">
        <v>2</v>
      </c>
      <c r="F4" s="1">
        <v>7</v>
      </c>
      <c r="G4" s="2">
        <v>4</v>
      </c>
      <c r="H4" s="6">
        <f t="shared" si="2"/>
        <v>12.6</v>
      </c>
      <c r="I4" s="6">
        <f t="shared" si="3"/>
        <v>7</v>
      </c>
      <c r="J4" s="6">
        <f t="shared" si="4"/>
        <v>14</v>
      </c>
      <c r="K4" s="6">
        <f t="shared" si="5"/>
        <v>7.2</v>
      </c>
      <c r="L4" s="6">
        <f t="shared" si="6"/>
        <v>4</v>
      </c>
      <c r="M4" s="6">
        <f t="shared" si="7"/>
        <v>8</v>
      </c>
      <c r="P4" t="s">
        <v>18</v>
      </c>
      <c r="Q4" s="7">
        <f>SUM(J$2:J$16)</f>
        <v>157.6</v>
      </c>
      <c r="R4" s="7">
        <f>M17</f>
        <v>108.45</v>
      </c>
    </row>
    <row r="5" spans="1:18" x14ac:dyDescent="0.25">
      <c r="A5" t="s">
        <v>4</v>
      </c>
      <c r="B5" s="3">
        <v>1.2</v>
      </c>
      <c r="C5" s="4">
        <v>0.8</v>
      </c>
      <c r="D5" s="5">
        <v>1.5</v>
      </c>
      <c r="F5" s="1">
        <v>1</v>
      </c>
      <c r="G5" s="2">
        <v>2</v>
      </c>
      <c r="H5" s="6">
        <f t="shared" si="2"/>
        <v>1.2</v>
      </c>
      <c r="I5" s="6">
        <f t="shared" si="3"/>
        <v>0.8</v>
      </c>
      <c r="J5" s="6">
        <f t="shared" si="4"/>
        <v>1.5</v>
      </c>
      <c r="K5" s="6">
        <f t="shared" si="5"/>
        <v>2.4</v>
      </c>
      <c r="L5" s="6">
        <f t="shared" si="6"/>
        <v>1.6</v>
      </c>
      <c r="M5" s="6">
        <f t="shared" si="7"/>
        <v>3</v>
      </c>
    </row>
    <row r="6" spans="1:18" x14ac:dyDescent="0.25">
      <c r="A6" t="s">
        <v>5</v>
      </c>
      <c r="B6" s="3">
        <v>2.4</v>
      </c>
      <c r="C6" s="4">
        <v>1.4</v>
      </c>
      <c r="D6" s="5">
        <v>2.4</v>
      </c>
      <c r="F6" s="1">
        <v>2</v>
      </c>
      <c r="G6" s="2">
        <v>2</v>
      </c>
      <c r="H6" s="6">
        <f t="shared" si="2"/>
        <v>4.8</v>
      </c>
      <c r="I6" s="6">
        <f t="shared" si="3"/>
        <v>2.8</v>
      </c>
      <c r="J6" s="6">
        <f t="shared" si="4"/>
        <v>4.8</v>
      </c>
      <c r="K6" s="6">
        <f t="shared" si="5"/>
        <v>4.8</v>
      </c>
      <c r="L6" s="6">
        <f t="shared" si="6"/>
        <v>2.8</v>
      </c>
      <c r="M6" s="6">
        <f t="shared" si="7"/>
        <v>4.8</v>
      </c>
    </row>
    <row r="7" spans="1:18" x14ac:dyDescent="0.25">
      <c r="A7" t="s">
        <v>6</v>
      </c>
      <c r="B7" s="3">
        <v>0.9</v>
      </c>
      <c r="C7" s="4">
        <v>0.2</v>
      </c>
      <c r="D7" s="5">
        <v>0.8</v>
      </c>
      <c r="F7" s="1">
        <v>2</v>
      </c>
      <c r="G7" s="2">
        <v>2</v>
      </c>
      <c r="H7" s="6">
        <f t="shared" si="2"/>
        <v>1.8</v>
      </c>
      <c r="I7" s="6">
        <f t="shared" si="3"/>
        <v>0.4</v>
      </c>
      <c r="J7" s="6">
        <f t="shared" si="4"/>
        <v>1.6</v>
      </c>
      <c r="K7" s="6">
        <f t="shared" si="5"/>
        <v>1.8</v>
      </c>
      <c r="L7" s="6">
        <f t="shared" si="6"/>
        <v>0.4</v>
      </c>
      <c r="M7" s="6">
        <f t="shared" si="7"/>
        <v>1.6</v>
      </c>
    </row>
    <row r="8" spans="1:18" x14ac:dyDescent="0.25">
      <c r="A8" t="s">
        <v>7</v>
      </c>
      <c r="B8" s="3">
        <v>0.99</v>
      </c>
      <c r="C8" s="4">
        <v>0.59</v>
      </c>
      <c r="D8" s="5">
        <v>2.59</v>
      </c>
      <c r="F8" s="1">
        <v>10</v>
      </c>
      <c r="G8" s="2">
        <v>10</v>
      </c>
      <c r="H8" s="6">
        <f t="shared" si="2"/>
        <v>9.9</v>
      </c>
      <c r="I8" s="6">
        <f t="shared" si="3"/>
        <v>5.8999999999999995</v>
      </c>
      <c r="J8" s="6">
        <f t="shared" si="4"/>
        <v>25.9</v>
      </c>
      <c r="K8" s="6">
        <f t="shared" si="5"/>
        <v>9.9</v>
      </c>
      <c r="L8" s="6">
        <f t="shared" si="6"/>
        <v>5.8999999999999995</v>
      </c>
      <c r="M8" s="6">
        <f t="shared" si="7"/>
        <v>25.9</v>
      </c>
    </row>
    <row r="9" spans="1:18" x14ac:dyDescent="0.25">
      <c r="A9" t="s">
        <v>8</v>
      </c>
      <c r="B9" s="3">
        <v>1.25</v>
      </c>
      <c r="C9" s="4">
        <v>3.25</v>
      </c>
      <c r="D9" s="5">
        <v>2.15</v>
      </c>
      <c r="F9" s="1">
        <v>4</v>
      </c>
      <c r="G9" s="2">
        <v>1</v>
      </c>
      <c r="H9" s="6">
        <f t="shared" si="2"/>
        <v>5</v>
      </c>
      <c r="I9" s="6">
        <f t="shared" si="3"/>
        <v>13</v>
      </c>
      <c r="J9" s="6">
        <f t="shared" si="4"/>
        <v>8.6</v>
      </c>
      <c r="K9" s="6">
        <f t="shared" si="5"/>
        <v>1.25</v>
      </c>
      <c r="L9" s="6">
        <f t="shared" si="6"/>
        <v>3.25</v>
      </c>
      <c r="M9" s="6">
        <f t="shared" si="7"/>
        <v>2.15</v>
      </c>
    </row>
    <row r="10" spans="1:18" x14ac:dyDescent="0.25">
      <c r="A10" t="s">
        <v>9</v>
      </c>
      <c r="B10" s="3">
        <v>9.5</v>
      </c>
      <c r="C10" s="4">
        <v>14</v>
      </c>
      <c r="D10" s="5">
        <v>13</v>
      </c>
      <c r="F10" s="1">
        <v>1</v>
      </c>
      <c r="G10" s="2">
        <v>1</v>
      </c>
      <c r="H10" s="6">
        <f t="shared" si="2"/>
        <v>9.5</v>
      </c>
      <c r="I10" s="6">
        <f t="shared" si="3"/>
        <v>14</v>
      </c>
      <c r="J10" s="6">
        <f t="shared" si="4"/>
        <v>13</v>
      </c>
      <c r="K10" s="6">
        <f t="shared" si="5"/>
        <v>9.5</v>
      </c>
      <c r="L10" s="6">
        <f t="shared" si="6"/>
        <v>14</v>
      </c>
      <c r="M10" s="6">
        <f t="shared" si="7"/>
        <v>13</v>
      </c>
    </row>
    <row r="11" spans="1:18" x14ac:dyDescent="0.25">
      <c r="A11" t="s">
        <v>10</v>
      </c>
      <c r="B11" s="3">
        <v>4.55</v>
      </c>
      <c r="C11" s="4">
        <v>2.5499999999999998</v>
      </c>
      <c r="D11" s="5">
        <v>6</v>
      </c>
      <c r="F11" s="1">
        <v>1</v>
      </c>
      <c r="G11" s="2">
        <v>1</v>
      </c>
      <c r="H11" s="6">
        <f t="shared" si="2"/>
        <v>4.55</v>
      </c>
      <c r="I11" s="6">
        <f t="shared" si="3"/>
        <v>2.5499999999999998</v>
      </c>
      <c r="J11" s="6">
        <f t="shared" si="4"/>
        <v>6</v>
      </c>
      <c r="K11" s="6">
        <f t="shared" si="5"/>
        <v>4.55</v>
      </c>
      <c r="L11" s="6">
        <f t="shared" si="6"/>
        <v>2.5499999999999998</v>
      </c>
      <c r="M11" s="6">
        <f t="shared" si="7"/>
        <v>6</v>
      </c>
    </row>
    <row r="12" spans="1:18" x14ac:dyDescent="0.25">
      <c r="A12" t="s">
        <v>11</v>
      </c>
      <c r="B12" s="3">
        <v>4.2</v>
      </c>
      <c r="C12" s="4">
        <v>2.2000000000000002</v>
      </c>
      <c r="D12" s="5">
        <v>3</v>
      </c>
      <c r="F12" s="1">
        <v>1</v>
      </c>
      <c r="G12" s="2">
        <v>0</v>
      </c>
      <c r="H12" s="6">
        <f t="shared" si="2"/>
        <v>4.2</v>
      </c>
      <c r="I12" s="6">
        <f t="shared" si="3"/>
        <v>2.2000000000000002</v>
      </c>
      <c r="J12" s="6">
        <f t="shared" si="4"/>
        <v>3</v>
      </c>
      <c r="K12" s="6">
        <f t="shared" si="5"/>
        <v>0</v>
      </c>
      <c r="L12" s="6">
        <f t="shared" si="6"/>
        <v>0</v>
      </c>
      <c r="M12" s="6">
        <f t="shared" si="7"/>
        <v>0</v>
      </c>
    </row>
    <row r="13" spans="1:18" x14ac:dyDescent="0.25">
      <c r="A13" t="s">
        <v>12</v>
      </c>
      <c r="B13" s="3">
        <v>3.9</v>
      </c>
      <c r="C13" s="4">
        <v>5</v>
      </c>
      <c r="D13" s="5">
        <v>8</v>
      </c>
      <c r="F13" s="1">
        <v>1</v>
      </c>
      <c r="G13" s="2">
        <v>0</v>
      </c>
      <c r="H13" s="6">
        <f t="shared" si="2"/>
        <v>3.9</v>
      </c>
      <c r="I13" s="6">
        <f t="shared" si="3"/>
        <v>5</v>
      </c>
      <c r="J13" s="6">
        <f t="shared" si="4"/>
        <v>8</v>
      </c>
      <c r="K13" s="6">
        <f t="shared" si="5"/>
        <v>0</v>
      </c>
      <c r="L13" s="6">
        <f t="shared" si="6"/>
        <v>0</v>
      </c>
      <c r="M13" s="6">
        <f t="shared" si="7"/>
        <v>0</v>
      </c>
    </row>
    <row r="14" spans="1:18" x14ac:dyDescent="0.25">
      <c r="A14" t="s">
        <v>13</v>
      </c>
      <c r="B14" s="3">
        <v>1</v>
      </c>
      <c r="C14" s="4">
        <v>2</v>
      </c>
      <c r="D14" s="5">
        <v>1</v>
      </c>
      <c r="F14" s="1">
        <v>1</v>
      </c>
      <c r="G14" s="2">
        <v>0</v>
      </c>
      <c r="H14" s="6">
        <f t="shared" si="2"/>
        <v>1</v>
      </c>
      <c r="I14" s="6">
        <f t="shared" si="3"/>
        <v>2</v>
      </c>
      <c r="J14" s="6">
        <f t="shared" si="4"/>
        <v>1</v>
      </c>
      <c r="K14" s="6">
        <f t="shared" si="5"/>
        <v>0</v>
      </c>
      <c r="L14" s="6">
        <f t="shared" si="6"/>
        <v>0</v>
      </c>
      <c r="M14" s="6">
        <f t="shared" si="7"/>
        <v>0</v>
      </c>
    </row>
    <row r="15" spans="1:18" x14ac:dyDescent="0.25">
      <c r="A15" t="s">
        <v>14</v>
      </c>
      <c r="B15" s="3">
        <v>1.75</v>
      </c>
      <c r="C15" s="4">
        <v>2</v>
      </c>
      <c r="D15" s="5">
        <v>1</v>
      </c>
      <c r="F15" s="1">
        <v>1</v>
      </c>
      <c r="G15" s="2">
        <v>0</v>
      </c>
      <c r="H15" s="6">
        <f t="shared" si="2"/>
        <v>1.75</v>
      </c>
      <c r="I15" s="6">
        <f t="shared" si="3"/>
        <v>2</v>
      </c>
      <c r="J15" s="6">
        <f t="shared" si="4"/>
        <v>1</v>
      </c>
      <c r="K15" s="6">
        <f t="shared" si="5"/>
        <v>0</v>
      </c>
      <c r="L15" s="6">
        <f t="shared" si="6"/>
        <v>0</v>
      </c>
      <c r="M15" s="6">
        <f t="shared" si="7"/>
        <v>0</v>
      </c>
    </row>
    <row r="16" spans="1:18" x14ac:dyDescent="0.25">
      <c r="A16" t="s">
        <v>15</v>
      </c>
      <c r="B16" s="3">
        <v>2</v>
      </c>
      <c r="C16" s="4">
        <v>1</v>
      </c>
      <c r="D16" s="5">
        <v>3</v>
      </c>
      <c r="F16" s="1">
        <v>1</v>
      </c>
      <c r="G16" s="2">
        <v>2</v>
      </c>
      <c r="H16" s="6">
        <f t="shared" si="2"/>
        <v>2</v>
      </c>
      <c r="I16" s="6">
        <f t="shared" si="3"/>
        <v>1</v>
      </c>
      <c r="J16" s="6">
        <f t="shared" si="4"/>
        <v>3</v>
      </c>
      <c r="K16" s="6">
        <f t="shared" si="5"/>
        <v>4</v>
      </c>
      <c r="L16" s="6">
        <f t="shared" si="6"/>
        <v>2</v>
      </c>
      <c r="M16" s="6">
        <f t="shared" si="7"/>
        <v>6</v>
      </c>
    </row>
    <row r="17" spans="1:13" x14ac:dyDescent="0.25">
      <c r="H17" s="6">
        <f>SUM(H2:H16)</f>
        <v>119.7</v>
      </c>
      <c r="I17" s="6">
        <f t="shared" ref="I17:M17" si="8">SUM(I2:I16)</f>
        <v>125.85000000000001</v>
      </c>
      <c r="J17" s="6">
        <f t="shared" si="8"/>
        <v>157.6</v>
      </c>
      <c r="K17" s="6">
        <f t="shared" si="8"/>
        <v>75.899999999999991</v>
      </c>
      <c r="L17" s="6">
        <f t="shared" si="8"/>
        <v>71.499999999999986</v>
      </c>
      <c r="M17" s="6">
        <f t="shared" si="8"/>
        <v>108.45</v>
      </c>
    </row>
    <row r="20" spans="1:13" x14ac:dyDescent="0.25">
      <c r="A20" t="s">
        <v>27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FC39-64AE-4922-BCBC-457D99268183}">
  <dimension ref="A2:E4"/>
  <sheetViews>
    <sheetView workbookViewId="0">
      <selection activeCell="E17" sqref="E17"/>
    </sheetView>
  </sheetViews>
  <sheetFormatPr defaultRowHeight="15" x14ac:dyDescent="0.25"/>
  <cols>
    <col min="1" max="1" width="6.85546875" customWidth="1"/>
    <col min="2" max="2" width="14.140625" customWidth="1"/>
    <col min="3" max="3" width="12" customWidth="1"/>
    <col min="4" max="4" width="17.85546875" customWidth="1"/>
    <col min="5" max="5" width="14" customWidth="1"/>
  </cols>
  <sheetData>
    <row r="2" spans="1:5" x14ac:dyDescent="0.25">
      <c r="A2" t="s">
        <v>30</v>
      </c>
      <c r="B2" t="s">
        <v>32</v>
      </c>
      <c r="C2" t="s">
        <v>31</v>
      </c>
      <c r="D2" t="s">
        <v>35</v>
      </c>
      <c r="E2" t="s">
        <v>36</v>
      </c>
    </row>
    <row r="3" spans="1:5" x14ac:dyDescent="0.25">
      <c r="A3" t="s">
        <v>33</v>
      </c>
      <c r="B3" s="6">
        <v>90</v>
      </c>
      <c r="C3" s="6">
        <f>2+4.5+7</f>
        <v>13.5</v>
      </c>
      <c r="D3" s="6">
        <f>(11+8)*12</f>
        <v>228</v>
      </c>
      <c r="E3" s="7">
        <f>SUM(B3:D3)</f>
        <v>331.5</v>
      </c>
    </row>
    <row r="4" spans="1:5" x14ac:dyDescent="0.25">
      <c r="A4" t="s">
        <v>34</v>
      </c>
      <c r="B4" s="6">
        <v>50</v>
      </c>
      <c r="C4" s="6">
        <f>2.5+5.5+7+3</f>
        <v>18</v>
      </c>
      <c r="D4" s="6">
        <f>(21+3)*12</f>
        <v>288</v>
      </c>
      <c r="E4" s="7">
        <f>SUM(B4:D4)</f>
        <v>356</v>
      </c>
    </row>
  </sheetData>
  <conditionalFormatting sqref="E3:E4">
    <cfRule type="iconSet" priority="1">
      <iconSet iconSet="3Symbols" reverse="1">
        <cfvo type="percent" val="0"/>
        <cfvo type="percent" val="33"/>
        <cfvo type="percent" val="67"/>
      </iconSet>
    </cfRule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F827-2171-4F14-8765-98EB680BDCEF}">
  <dimension ref="A1:D65"/>
  <sheetViews>
    <sheetView tabSelected="1" topLeftCell="A7" zoomScale="65" zoomScaleNormal="65" workbookViewId="0">
      <selection activeCell="R24" sqref="R24"/>
    </sheetView>
  </sheetViews>
  <sheetFormatPr defaultRowHeight="15" x14ac:dyDescent="0.25"/>
  <cols>
    <col min="1" max="2" width="16.28515625" bestFit="1" customWidth="1"/>
    <col min="3" max="3" width="18.28515625" bestFit="1" customWidth="1"/>
    <col min="4" max="4" width="16.7109375" bestFit="1" customWidth="1"/>
  </cols>
  <sheetData>
    <row r="1" spans="1:4" s="22" customFormat="1" x14ac:dyDescent="0.25">
      <c r="A1" s="22" t="s">
        <v>45</v>
      </c>
    </row>
    <row r="2" spans="1:4" x14ac:dyDescent="0.25">
      <c r="A2" s="13" t="s">
        <v>37</v>
      </c>
      <c r="B2" s="13" t="s">
        <v>38</v>
      </c>
      <c r="C2" s="13" t="s">
        <v>39</v>
      </c>
      <c r="D2" s="13" t="s">
        <v>40</v>
      </c>
    </row>
    <row r="3" spans="1:4" x14ac:dyDescent="0.25">
      <c r="A3" s="8" t="s">
        <v>46</v>
      </c>
      <c r="B3" s="4">
        <v>0</v>
      </c>
      <c r="C3" s="4">
        <v>99</v>
      </c>
      <c r="D3" s="4">
        <v>0</v>
      </c>
    </row>
    <row r="4" spans="1:4" x14ac:dyDescent="0.25">
      <c r="A4" s="8" t="s">
        <v>47</v>
      </c>
      <c r="B4" s="4">
        <v>0</v>
      </c>
      <c r="C4" s="4">
        <v>95</v>
      </c>
      <c r="D4" s="4">
        <v>0</v>
      </c>
    </row>
    <row r="5" spans="1:4" x14ac:dyDescent="0.25">
      <c r="A5" s="8" t="s">
        <v>48</v>
      </c>
      <c r="B5" s="4">
        <v>0</v>
      </c>
      <c r="C5" s="4">
        <v>85</v>
      </c>
      <c r="D5" s="4">
        <v>0</v>
      </c>
    </row>
    <row r="6" spans="1:4" x14ac:dyDescent="0.25">
      <c r="A6" s="8" t="s">
        <v>49</v>
      </c>
      <c r="B6" s="4">
        <v>0</v>
      </c>
      <c r="C6" s="4">
        <v>85</v>
      </c>
      <c r="D6" s="4">
        <v>0</v>
      </c>
    </row>
    <row r="7" spans="1:4" x14ac:dyDescent="0.25">
      <c r="A7" s="8" t="s">
        <v>50</v>
      </c>
      <c r="B7" s="4">
        <v>0</v>
      </c>
      <c r="C7" s="4">
        <v>0</v>
      </c>
      <c r="D7" s="4">
        <v>18</v>
      </c>
    </row>
    <row r="8" spans="1:4" x14ac:dyDescent="0.25">
      <c r="A8" s="8" t="s">
        <v>51</v>
      </c>
      <c r="B8" s="4">
        <v>0</v>
      </c>
      <c r="C8" s="4">
        <v>0</v>
      </c>
      <c r="D8" s="4">
        <v>25</v>
      </c>
    </row>
    <row r="9" spans="1:4" x14ac:dyDescent="0.25">
      <c r="A9" s="8" t="s">
        <v>52</v>
      </c>
      <c r="B9" s="4">
        <v>0</v>
      </c>
      <c r="C9" s="4">
        <v>0</v>
      </c>
      <c r="D9" s="4">
        <v>15</v>
      </c>
    </row>
    <row r="10" spans="1:4" x14ac:dyDescent="0.25">
      <c r="A10" s="8" t="s">
        <v>53</v>
      </c>
      <c r="B10" s="4">
        <v>0</v>
      </c>
      <c r="C10" s="4">
        <v>0</v>
      </c>
      <c r="D10" s="4">
        <v>9</v>
      </c>
    </row>
    <row r="11" spans="1:4" x14ac:dyDescent="0.25">
      <c r="A11" s="8" t="s">
        <v>54</v>
      </c>
      <c r="B11" s="4">
        <v>550</v>
      </c>
      <c r="C11" s="4">
        <v>0</v>
      </c>
      <c r="D11" s="4">
        <v>0</v>
      </c>
    </row>
    <row r="12" spans="1:4" x14ac:dyDescent="0.25">
      <c r="A12" s="8" t="s">
        <v>57</v>
      </c>
      <c r="B12" s="17">
        <v>2</v>
      </c>
      <c r="C12" s="17">
        <v>2</v>
      </c>
      <c r="D12" s="17">
        <v>2</v>
      </c>
    </row>
    <row r="13" spans="1:4" x14ac:dyDescent="0.25">
      <c r="A13" s="8" t="s">
        <v>36</v>
      </c>
      <c r="B13" s="18">
        <f>(SUM(B3:B11) *B12)</f>
        <v>1100</v>
      </c>
      <c r="C13" s="18">
        <f t="shared" ref="C13:D13" si="0">(SUM(C3:C11) *C12)</f>
        <v>728</v>
      </c>
      <c r="D13" s="18">
        <f t="shared" si="0"/>
        <v>134</v>
      </c>
    </row>
    <row r="15" spans="1:4" x14ac:dyDescent="0.25">
      <c r="A15" s="13" t="s">
        <v>56</v>
      </c>
      <c r="B15" s="13"/>
      <c r="C15" s="13"/>
      <c r="D15" s="13"/>
    </row>
    <row r="16" spans="1:4" x14ac:dyDescent="0.25">
      <c r="A16" s="9" t="s">
        <v>41</v>
      </c>
      <c r="B16" s="12">
        <v>350</v>
      </c>
      <c r="C16" s="12">
        <v>100</v>
      </c>
      <c r="D16" s="12">
        <v>280</v>
      </c>
    </row>
    <row r="17" spans="1:4" x14ac:dyDescent="0.25">
      <c r="A17" s="9" t="s">
        <v>57</v>
      </c>
      <c r="B17" s="9">
        <v>2</v>
      </c>
      <c r="C17" s="9">
        <v>2</v>
      </c>
      <c r="D17" s="9">
        <v>2</v>
      </c>
    </row>
    <row r="18" spans="1:4" x14ac:dyDescent="0.25">
      <c r="A18" s="9" t="s">
        <v>36</v>
      </c>
      <c r="B18" s="19">
        <f>B16*B17</f>
        <v>700</v>
      </c>
      <c r="C18" s="19">
        <f t="shared" ref="C18:D18" si="1">C16*C17</f>
        <v>200</v>
      </c>
      <c r="D18" s="19">
        <f t="shared" si="1"/>
        <v>560</v>
      </c>
    </row>
    <row r="19" spans="1:4" s="16" customFormat="1" x14ac:dyDescent="0.25">
      <c r="B19" s="20"/>
      <c r="C19" s="20"/>
      <c r="D19" s="20"/>
    </row>
    <row r="20" spans="1:4" x14ac:dyDescent="0.25">
      <c r="A20" s="13" t="s">
        <v>60</v>
      </c>
      <c r="B20" s="13"/>
      <c r="C20" s="13"/>
      <c r="D20" s="13"/>
    </row>
    <row r="21" spans="1:4" x14ac:dyDescent="0.25">
      <c r="A21" s="8" t="s">
        <v>43</v>
      </c>
      <c r="B21" s="21">
        <v>0</v>
      </c>
      <c r="C21" s="21">
        <v>50</v>
      </c>
      <c r="D21" s="21">
        <v>50</v>
      </c>
    </row>
    <row r="22" spans="1:4" x14ac:dyDescent="0.25">
      <c r="A22" s="8" t="s">
        <v>57</v>
      </c>
      <c r="B22" s="8">
        <v>2</v>
      </c>
      <c r="C22" s="8">
        <v>2</v>
      </c>
      <c r="D22" s="8">
        <v>2</v>
      </c>
    </row>
    <row r="23" spans="1:4" x14ac:dyDescent="0.25">
      <c r="A23" s="8" t="s">
        <v>61</v>
      </c>
      <c r="B23" s="8">
        <v>4</v>
      </c>
      <c r="C23" s="8">
        <v>4</v>
      </c>
      <c r="D23" s="8">
        <v>4</v>
      </c>
    </row>
    <row r="24" spans="1:4" x14ac:dyDescent="0.25">
      <c r="A24" s="8" t="s">
        <v>36</v>
      </c>
      <c r="B24" s="21">
        <f>B22*B21*B23</f>
        <v>0</v>
      </c>
      <c r="C24" s="21">
        <f t="shared" ref="C24" si="2">C22*C21*C23</f>
        <v>400</v>
      </c>
      <c r="D24" s="21">
        <f t="shared" ref="D24" si="3">D22*D21*D23</f>
        <v>400</v>
      </c>
    </row>
    <row r="26" spans="1:4" x14ac:dyDescent="0.25">
      <c r="A26" s="13" t="s">
        <v>55</v>
      </c>
      <c r="B26" s="13"/>
      <c r="C26" s="13"/>
      <c r="D26" s="13"/>
    </row>
    <row r="27" spans="1:4" s="16" customFormat="1" x14ac:dyDescent="0.25">
      <c r="A27" s="10" t="s">
        <v>42</v>
      </c>
      <c r="B27" s="11">
        <v>0</v>
      </c>
      <c r="C27" s="11">
        <v>105</v>
      </c>
      <c r="D27" s="11">
        <v>120</v>
      </c>
    </row>
    <row r="28" spans="1:4" x14ac:dyDescent="0.25">
      <c r="A28" s="10" t="s">
        <v>44</v>
      </c>
      <c r="B28" s="11">
        <v>0</v>
      </c>
      <c r="C28" s="11">
        <v>0</v>
      </c>
      <c r="D28" s="11">
        <v>40</v>
      </c>
    </row>
    <row r="29" spans="1:4" x14ac:dyDescent="0.25">
      <c r="A29" s="10" t="s">
        <v>58</v>
      </c>
      <c r="B29" s="10">
        <v>4</v>
      </c>
      <c r="C29" s="10">
        <v>4</v>
      </c>
      <c r="D29" s="10">
        <v>4</v>
      </c>
    </row>
    <row r="30" spans="1:4" x14ac:dyDescent="0.25">
      <c r="A30" s="10" t="s">
        <v>59</v>
      </c>
      <c r="B30" s="14">
        <f>(SUM(B27:B28) * B29)</f>
        <v>0</v>
      </c>
      <c r="C30" s="14">
        <f>(SUM(C27:C28) * C29)</f>
        <v>420</v>
      </c>
      <c r="D30" s="14">
        <f>(SUM(D27:D28) * D29)</f>
        <v>640</v>
      </c>
    </row>
    <row r="31" spans="1:4" x14ac:dyDescent="0.25">
      <c r="A31" s="1"/>
      <c r="B31" s="1" t="s">
        <v>38</v>
      </c>
      <c r="C31" s="1" t="s">
        <v>39</v>
      </c>
      <c r="D31" s="1" t="s">
        <v>40</v>
      </c>
    </row>
    <row r="32" spans="1:4" x14ac:dyDescent="0.25">
      <c r="A32" s="1" t="s">
        <v>36</v>
      </c>
      <c r="B32" s="15">
        <f>SUM(B30,B18,B24,B13)</f>
        <v>1800</v>
      </c>
      <c r="C32" s="15">
        <f t="shared" ref="C32:D32" si="4">SUM(C30,C18,C24,C13)</f>
        <v>1748</v>
      </c>
      <c r="D32" s="15">
        <f t="shared" si="4"/>
        <v>1734</v>
      </c>
    </row>
    <row r="34" spans="1:4" s="22" customFormat="1" x14ac:dyDescent="0.25">
      <c r="A34" s="22" t="s">
        <v>20</v>
      </c>
    </row>
    <row r="35" spans="1:4" x14ac:dyDescent="0.25">
      <c r="A35" s="13" t="s">
        <v>37</v>
      </c>
      <c r="B35" s="13" t="s">
        <v>38</v>
      </c>
      <c r="C35" s="13" t="s">
        <v>39</v>
      </c>
      <c r="D35" s="13" t="s">
        <v>40</v>
      </c>
    </row>
    <row r="36" spans="1:4" x14ac:dyDescent="0.25">
      <c r="A36" s="8" t="s">
        <v>46</v>
      </c>
      <c r="B36" s="4">
        <v>0</v>
      </c>
      <c r="C36" s="4">
        <v>99</v>
      </c>
      <c r="D36" s="4">
        <v>0</v>
      </c>
    </row>
    <row r="37" spans="1:4" x14ac:dyDescent="0.25">
      <c r="A37" s="8" t="s">
        <v>47</v>
      </c>
      <c r="B37" s="4">
        <v>0</v>
      </c>
      <c r="C37" s="4">
        <v>95</v>
      </c>
      <c r="D37" s="4">
        <v>0</v>
      </c>
    </row>
    <row r="38" spans="1:4" x14ac:dyDescent="0.25">
      <c r="A38" s="8" t="s">
        <v>48</v>
      </c>
      <c r="B38" s="4">
        <v>0</v>
      </c>
      <c r="C38" s="4">
        <v>85</v>
      </c>
      <c r="D38" s="4">
        <v>0</v>
      </c>
    </row>
    <row r="39" spans="1:4" x14ac:dyDescent="0.25">
      <c r="A39" s="8" t="s">
        <v>49</v>
      </c>
      <c r="B39" s="4">
        <v>0</v>
      </c>
      <c r="C39" s="4">
        <v>85</v>
      </c>
      <c r="D39" s="4">
        <v>0</v>
      </c>
    </row>
    <row r="40" spans="1:4" x14ac:dyDescent="0.25">
      <c r="A40" s="8" t="s">
        <v>50</v>
      </c>
      <c r="B40" s="4">
        <v>0</v>
      </c>
      <c r="C40" s="4">
        <v>0</v>
      </c>
      <c r="D40" s="4">
        <v>18</v>
      </c>
    </row>
    <row r="41" spans="1:4" x14ac:dyDescent="0.25">
      <c r="A41" s="8" t="s">
        <v>51</v>
      </c>
      <c r="B41" s="4">
        <v>0</v>
      </c>
      <c r="C41" s="4">
        <v>0</v>
      </c>
      <c r="D41" s="4">
        <v>25</v>
      </c>
    </row>
    <row r="42" spans="1:4" x14ac:dyDescent="0.25">
      <c r="A42" s="8" t="s">
        <v>52</v>
      </c>
      <c r="B42" s="4">
        <v>0</v>
      </c>
      <c r="C42" s="4">
        <v>0</v>
      </c>
      <c r="D42" s="4">
        <v>15</v>
      </c>
    </row>
    <row r="43" spans="1:4" x14ac:dyDescent="0.25">
      <c r="A43" s="8" t="s">
        <v>53</v>
      </c>
      <c r="B43" s="4">
        <v>0</v>
      </c>
      <c r="C43" s="4">
        <v>0</v>
      </c>
      <c r="D43" s="4">
        <v>9</v>
      </c>
    </row>
    <row r="44" spans="1:4" x14ac:dyDescent="0.25">
      <c r="A44" s="8" t="s">
        <v>54</v>
      </c>
      <c r="B44" s="4">
        <v>550</v>
      </c>
      <c r="C44" s="4">
        <v>0</v>
      </c>
      <c r="D44" s="4">
        <v>0</v>
      </c>
    </row>
    <row r="45" spans="1:4" x14ac:dyDescent="0.25">
      <c r="A45" s="8" t="s">
        <v>57</v>
      </c>
      <c r="B45" s="17">
        <v>4</v>
      </c>
      <c r="C45" s="17">
        <v>4</v>
      </c>
      <c r="D45" s="17">
        <v>4</v>
      </c>
    </row>
    <row r="46" spans="1:4" x14ac:dyDescent="0.25">
      <c r="A46" s="8" t="s">
        <v>36</v>
      </c>
      <c r="B46" s="18">
        <f>(SUM(B36:B44) *B45)</f>
        <v>2200</v>
      </c>
      <c r="C46" s="18">
        <f t="shared" ref="C46" si="5">(SUM(C36:C44) *C45)</f>
        <v>1456</v>
      </c>
      <c r="D46" s="18">
        <f t="shared" ref="D46" si="6">(SUM(D36:D44) *D45)</f>
        <v>268</v>
      </c>
    </row>
    <row r="48" spans="1:4" x14ac:dyDescent="0.25">
      <c r="A48" s="13" t="s">
        <v>56</v>
      </c>
      <c r="B48" s="13"/>
      <c r="C48" s="13"/>
      <c r="D48" s="13"/>
    </row>
    <row r="49" spans="1:4" x14ac:dyDescent="0.25">
      <c r="A49" s="9" t="s">
        <v>41</v>
      </c>
      <c r="B49" s="12">
        <v>350</v>
      </c>
      <c r="C49" s="12">
        <v>100</v>
      </c>
      <c r="D49" s="12">
        <v>280</v>
      </c>
    </row>
    <row r="50" spans="1:4" x14ac:dyDescent="0.25">
      <c r="A50" s="9" t="s">
        <v>57</v>
      </c>
      <c r="B50" s="9">
        <v>4</v>
      </c>
      <c r="C50" s="9">
        <v>4</v>
      </c>
      <c r="D50" s="9">
        <v>4</v>
      </c>
    </row>
    <row r="51" spans="1:4" x14ac:dyDescent="0.25">
      <c r="A51" s="9" t="s">
        <v>36</v>
      </c>
      <c r="B51" s="19">
        <f>B49*B50</f>
        <v>1400</v>
      </c>
      <c r="C51" s="19">
        <f t="shared" ref="C51" si="7">C49*C50</f>
        <v>400</v>
      </c>
      <c r="D51" s="19">
        <f t="shared" ref="D51" si="8">D49*D50</f>
        <v>1120</v>
      </c>
    </row>
    <row r="53" spans="1:4" x14ac:dyDescent="0.25">
      <c r="A53" s="13" t="s">
        <v>60</v>
      </c>
      <c r="B53" s="13"/>
      <c r="C53" s="13"/>
      <c r="D53" s="13"/>
    </row>
    <row r="54" spans="1:4" x14ac:dyDescent="0.25">
      <c r="A54" s="8" t="s">
        <v>43</v>
      </c>
      <c r="B54" s="21">
        <v>0</v>
      </c>
      <c r="C54" s="21">
        <v>50</v>
      </c>
      <c r="D54" s="21">
        <v>50</v>
      </c>
    </row>
    <row r="55" spans="1:4" x14ac:dyDescent="0.25">
      <c r="A55" s="8" t="s">
        <v>57</v>
      </c>
      <c r="B55" s="8">
        <v>4</v>
      </c>
      <c r="C55" s="8">
        <v>4</v>
      </c>
      <c r="D55" s="8">
        <v>4</v>
      </c>
    </row>
    <row r="56" spans="1:4" x14ac:dyDescent="0.25">
      <c r="A56" s="8" t="s">
        <v>61</v>
      </c>
      <c r="B56" s="8">
        <v>4</v>
      </c>
      <c r="C56" s="8">
        <v>4</v>
      </c>
      <c r="D56" s="8">
        <v>4</v>
      </c>
    </row>
    <row r="57" spans="1:4" x14ac:dyDescent="0.25">
      <c r="A57" s="8" t="s">
        <v>36</v>
      </c>
      <c r="B57" s="21">
        <f>B55*B54*B56</f>
        <v>0</v>
      </c>
      <c r="C57" s="21">
        <f t="shared" ref="C57:D57" si="9">C55*C54*C56</f>
        <v>800</v>
      </c>
      <c r="D57" s="21">
        <f t="shared" si="9"/>
        <v>800</v>
      </c>
    </row>
    <row r="59" spans="1:4" x14ac:dyDescent="0.25">
      <c r="A59" s="13" t="s">
        <v>55</v>
      </c>
      <c r="B59" s="13"/>
      <c r="C59" s="13"/>
      <c r="D59" s="13"/>
    </row>
    <row r="60" spans="1:4" x14ac:dyDescent="0.25">
      <c r="A60" s="10" t="s">
        <v>42</v>
      </c>
      <c r="B60" s="11">
        <v>0</v>
      </c>
      <c r="C60" s="11">
        <v>105</v>
      </c>
      <c r="D60" s="11">
        <v>120</v>
      </c>
    </row>
    <row r="61" spans="1:4" x14ac:dyDescent="0.25">
      <c r="A61" s="10" t="s">
        <v>44</v>
      </c>
      <c r="B61" s="11">
        <v>0</v>
      </c>
      <c r="C61" s="11">
        <v>0</v>
      </c>
      <c r="D61" s="11">
        <v>40</v>
      </c>
    </row>
    <row r="62" spans="1:4" x14ac:dyDescent="0.25">
      <c r="A62" s="10" t="s">
        <v>58</v>
      </c>
      <c r="B62" s="10">
        <v>4</v>
      </c>
      <c r="C62" s="10">
        <v>4</v>
      </c>
      <c r="D62" s="10">
        <v>4</v>
      </c>
    </row>
    <row r="63" spans="1:4" x14ac:dyDescent="0.25">
      <c r="A63" s="10" t="s">
        <v>59</v>
      </c>
      <c r="B63" s="14">
        <f>(SUM(B60:B61) * B62)</f>
        <v>0</v>
      </c>
      <c r="C63" s="14">
        <f>(SUM(C60:C61) * C62)</f>
        <v>420</v>
      </c>
      <c r="D63" s="14">
        <f>(SUM(D60:D61) * D62)</f>
        <v>640</v>
      </c>
    </row>
    <row r="64" spans="1:4" x14ac:dyDescent="0.25">
      <c r="A64" s="1"/>
      <c r="B64" s="1" t="s">
        <v>38</v>
      </c>
      <c r="C64" s="1" t="s">
        <v>39</v>
      </c>
      <c r="D64" s="1" t="s">
        <v>40</v>
      </c>
    </row>
    <row r="65" spans="1:4" x14ac:dyDescent="0.25">
      <c r="A65" s="1" t="s">
        <v>36</v>
      </c>
      <c r="B65" s="15">
        <f>SUM(B63,B57,B51,B46)</f>
        <v>3600</v>
      </c>
      <c r="C65" s="15">
        <f>SUM(C63,C57,C51,C46)</f>
        <v>3076</v>
      </c>
      <c r="D65" s="15">
        <f>SUM(D63,D57,D51,D46)</f>
        <v>2828</v>
      </c>
    </row>
  </sheetData>
  <conditionalFormatting sqref="B32:D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Symbols" reverse="1">
        <cfvo type="percent" val="0"/>
        <cfvo type="percent" val="33"/>
        <cfvo type="percent" val="67"/>
      </iconSet>
    </cfRule>
  </conditionalFormatting>
  <conditionalFormatting sqref="B65:D65">
    <cfRule type="iconSet" priority="1">
      <iconSet iconSet="3Symbols" reverse="1">
        <cfvo type="percent" val="0"/>
        <cfvo type="percent" val="33"/>
        <cfvo type="percent" val="67"/>
      </iconSet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SchoolShopping</vt:lpstr>
      <vt:lpstr>Humane Society Pets Adoption</vt:lpstr>
      <vt:lpstr>3vacations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Kwago Hoot</dc:creator>
  <cp:lastModifiedBy>Kwago Hoot</cp:lastModifiedBy>
  <dcterms:created xsi:type="dcterms:W3CDTF">2026-07-26T07:00:07Z</dcterms:created>
  <dcterms:modified xsi:type="dcterms:W3CDTF">2026-07-26T15:13:22Z</dcterms:modified>
</cp:coreProperties>
</file>