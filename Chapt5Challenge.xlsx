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een\Desktop\GET A JOB\LearnExcel\"/>
    </mc:Choice>
  </mc:AlternateContent>
  <xr:revisionPtr revIDLastSave="0" documentId="13_ncr:1_{657041D3-2385-495F-8F04-8227E21297C8}" xr6:coauthVersionLast="47" xr6:coauthVersionMax="47" xr10:uidLastSave="{00000000-0000-0000-0000-000000000000}"/>
  <bookViews>
    <workbookView xWindow="-120" yWindow="-120" windowWidth="20730" windowHeight="11160" tabRatio="701" activeTab="5" xr2:uid="{5344C77C-132B-45DC-AC0C-B651EB5E5F81}"/>
  </bookViews>
  <sheets>
    <sheet name="SchoolShopping" sheetId="1" r:id="rId1"/>
    <sheet name="Humane Society Pets Adoption" sheetId="4" r:id="rId2"/>
    <sheet name="3vacations" sheetId="5" r:id="rId3"/>
    <sheet name="printerCost" sheetId="6" r:id="rId4"/>
    <sheet name="phone bill" sheetId="7" r:id="rId5"/>
    <sheet name="Sheet3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8" l="1"/>
  <c r="D10" i="8"/>
  <c r="B10" i="8"/>
  <c r="C42" i="8"/>
  <c r="D42" i="8"/>
  <c r="B42" i="8"/>
  <c r="D59" i="8"/>
  <c r="C59" i="8"/>
  <c r="B59" i="8"/>
  <c r="D48" i="8"/>
  <c r="D53" i="8" s="1"/>
  <c r="D54" i="8" s="1"/>
  <c r="C48" i="8"/>
  <c r="C53" i="8" s="1"/>
  <c r="C54" i="8" s="1"/>
  <c r="B48" i="8"/>
  <c r="B53" i="8" s="1"/>
  <c r="B54" i="8" s="1"/>
  <c r="D38" i="8"/>
  <c r="C38" i="8"/>
  <c r="B38" i="8"/>
  <c r="C27" i="8"/>
  <c r="D27" i="8"/>
  <c r="B27" i="8"/>
  <c r="C6" i="8"/>
  <c r="D6" i="8"/>
  <c r="B6" i="8"/>
  <c r="C16" i="8"/>
  <c r="C21" i="8" s="1"/>
  <c r="C22" i="8" s="1"/>
  <c r="D16" i="8"/>
  <c r="D21" i="8" s="1"/>
  <c r="D22" i="8" s="1"/>
  <c r="B16" i="8"/>
  <c r="B21" i="8" s="1"/>
  <c r="B22" i="8" s="1"/>
  <c r="D31" i="7"/>
  <c r="C31" i="7"/>
  <c r="B31" i="7"/>
  <c r="D26" i="7"/>
  <c r="C26" i="7"/>
  <c r="B26" i="7"/>
  <c r="B8" i="7"/>
  <c r="C8" i="7"/>
  <c r="D8" i="7"/>
  <c r="D17" i="7" s="1"/>
  <c r="C13" i="7"/>
  <c r="D13" i="7"/>
  <c r="B13" i="7"/>
  <c r="C35" i="6"/>
  <c r="D35" i="6"/>
  <c r="B35" i="6"/>
  <c r="D36" i="6"/>
  <c r="D41" i="6" s="1"/>
  <c r="C36" i="6"/>
  <c r="C41" i="6" s="1"/>
  <c r="B36" i="6"/>
  <c r="B41" i="6" s="1"/>
  <c r="B33" i="6"/>
  <c r="D28" i="6"/>
  <c r="C28" i="6"/>
  <c r="B28" i="6"/>
  <c r="C14" i="6"/>
  <c r="C15" i="6" s="1"/>
  <c r="C20" i="6" s="1"/>
  <c r="C7" i="6"/>
  <c r="D7" i="6"/>
  <c r="B7" i="6"/>
  <c r="B12" i="6"/>
  <c r="B14" i="6" s="1"/>
  <c r="B15" i="6" s="1"/>
  <c r="B20" i="6" s="1"/>
  <c r="C32" i="5"/>
  <c r="D32" i="5"/>
  <c r="B32" i="5"/>
  <c r="D24" i="5"/>
  <c r="C24" i="5"/>
  <c r="B24" i="5"/>
  <c r="C57" i="5"/>
  <c r="D57" i="5"/>
  <c r="B57" i="5"/>
  <c r="D63" i="5"/>
  <c r="D65" i="5" s="1"/>
  <c r="C63" i="5"/>
  <c r="B63" i="5"/>
  <c r="D51" i="5"/>
  <c r="C51" i="5"/>
  <c r="B51" i="5"/>
  <c r="D46" i="5"/>
  <c r="C46" i="5"/>
  <c r="B46" i="5"/>
  <c r="C18" i="5"/>
  <c r="D18" i="5"/>
  <c r="B18" i="5"/>
  <c r="C13" i="5"/>
  <c r="D13" i="5"/>
  <c r="B13" i="5"/>
  <c r="C30" i="5"/>
  <c r="D30" i="5"/>
  <c r="B30" i="5"/>
  <c r="E4" i="4"/>
  <c r="E3" i="4"/>
  <c r="D4" i="4"/>
  <c r="D3" i="4"/>
  <c r="C4" i="4"/>
  <c r="C3" i="4"/>
  <c r="R4" i="1"/>
  <c r="R3" i="1"/>
  <c r="R2" i="1"/>
  <c r="Q4" i="1"/>
  <c r="Q3" i="1"/>
  <c r="Q2" i="1"/>
  <c r="I17" i="1"/>
  <c r="J17" i="1"/>
  <c r="K17" i="1"/>
  <c r="L17" i="1"/>
  <c r="M17" i="1"/>
  <c r="H17" i="1"/>
  <c r="K3" i="1"/>
  <c r="L3" i="1"/>
  <c r="M3" i="1"/>
  <c r="K4" i="1"/>
  <c r="L4" i="1"/>
  <c r="M4" i="1"/>
  <c r="K5" i="1"/>
  <c r="L5" i="1"/>
  <c r="M5" i="1"/>
  <c r="K6" i="1"/>
  <c r="L6" i="1"/>
  <c r="M6" i="1"/>
  <c r="K7" i="1"/>
  <c r="L7" i="1"/>
  <c r="M7" i="1"/>
  <c r="K8" i="1"/>
  <c r="L8" i="1"/>
  <c r="M8" i="1"/>
  <c r="K9" i="1"/>
  <c r="L9" i="1"/>
  <c r="M9" i="1"/>
  <c r="K10" i="1"/>
  <c r="L10" i="1"/>
  <c r="M10" i="1"/>
  <c r="K11" i="1"/>
  <c r="L11" i="1"/>
  <c r="M11" i="1"/>
  <c r="K12" i="1"/>
  <c r="L12" i="1"/>
  <c r="M12" i="1"/>
  <c r="K13" i="1"/>
  <c r="L13" i="1"/>
  <c r="M13" i="1"/>
  <c r="K14" i="1"/>
  <c r="L14" i="1"/>
  <c r="M14" i="1"/>
  <c r="K15" i="1"/>
  <c r="L15" i="1"/>
  <c r="M15" i="1"/>
  <c r="K16" i="1"/>
  <c r="L16" i="1"/>
  <c r="M16" i="1"/>
  <c r="L2" i="1"/>
  <c r="M2" i="1"/>
  <c r="K2" i="1"/>
  <c r="H3" i="1"/>
  <c r="I3" i="1"/>
  <c r="J3" i="1"/>
  <c r="H4" i="1"/>
  <c r="I4" i="1"/>
  <c r="J4" i="1"/>
  <c r="H5" i="1"/>
  <c r="I5" i="1"/>
  <c r="J5" i="1"/>
  <c r="H6" i="1"/>
  <c r="I6" i="1"/>
  <c r="J6" i="1"/>
  <c r="H7" i="1"/>
  <c r="I7" i="1"/>
  <c r="J7" i="1"/>
  <c r="H8" i="1"/>
  <c r="I8" i="1"/>
  <c r="J8" i="1"/>
  <c r="H9" i="1"/>
  <c r="I9" i="1"/>
  <c r="J9" i="1"/>
  <c r="H10" i="1"/>
  <c r="I10" i="1"/>
  <c r="J10" i="1"/>
  <c r="H11" i="1"/>
  <c r="I11" i="1"/>
  <c r="J11" i="1"/>
  <c r="H12" i="1"/>
  <c r="I12" i="1"/>
  <c r="J12" i="1"/>
  <c r="H13" i="1"/>
  <c r="I13" i="1"/>
  <c r="J13" i="1"/>
  <c r="H14" i="1"/>
  <c r="I14" i="1"/>
  <c r="J14" i="1"/>
  <c r="H15" i="1"/>
  <c r="I15" i="1"/>
  <c r="J15" i="1"/>
  <c r="H16" i="1"/>
  <c r="I16" i="1"/>
  <c r="J16" i="1"/>
  <c r="I2" i="1"/>
  <c r="J2" i="1"/>
  <c r="H2" i="1"/>
  <c r="B31" i="8" l="1"/>
  <c r="C31" i="8"/>
  <c r="C63" i="8"/>
  <c r="B63" i="8"/>
  <c r="D63" i="8"/>
  <c r="D31" i="8"/>
  <c r="D35" i="7"/>
  <c r="C35" i="7"/>
  <c r="B35" i="7"/>
  <c r="B17" i="7"/>
  <c r="C17" i="7"/>
  <c r="D14" i="6"/>
  <c r="D15" i="6" s="1"/>
  <c r="D20" i="6" s="1"/>
  <c r="B65" i="5"/>
  <c r="C65" i="5"/>
</calcChain>
</file>

<file path=xl/sharedStrings.xml><?xml version="1.0" encoding="utf-8"?>
<sst xmlns="http://schemas.openxmlformats.org/spreadsheetml/2006/main" count="250" uniqueCount="114">
  <si>
    <t>Item</t>
  </si>
  <si>
    <t>Ball Point Pen</t>
  </si>
  <si>
    <t>TI-35 Calculator</t>
  </si>
  <si>
    <t>100 page notebook</t>
  </si>
  <si>
    <t>8 oz Glue</t>
  </si>
  <si>
    <t>Clear tape</t>
  </si>
  <si>
    <t>Eraser</t>
  </si>
  <si>
    <t>10 No. 2 Pencils</t>
  </si>
  <si>
    <t>2 inch binder</t>
  </si>
  <si>
    <t>USB Stick 5gb</t>
  </si>
  <si>
    <t>8 Color Markers</t>
  </si>
  <si>
    <t>Stapler</t>
  </si>
  <si>
    <t>Planner Book</t>
  </si>
  <si>
    <t>Protractor</t>
  </si>
  <si>
    <t>Compass</t>
  </si>
  <si>
    <t>Liquid Paper</t>
  </si>
  <si>
    <t xml:space="preserve">Wal-Mart </t>
  </si>
  <si>
    <t>Dollar Trap</t>
  </si>
  <si>
    <t>Office Repo</t>
  </si>
  <si>
    <t>Susan</t>
  </si>
  <si>
    <t>Tim</t>
  </si>
  <si>
    <t>Susan W</t>
  </si>
  <si>
    <t>Susan D</t>
  </si>
  <si>
    <t>Susan OR</t>
  </si>
  <si>
    <t>Tim WM</t>
  </si>
  <si>
    <t>Tim DT</t>
  </si>
  <si>
    <t>Tim OR</t>
  </si>
  <si>
    <t xml:space="preserve">Susan </t>
  </si>
  <si>
    <t xml:space="preserve">Store </t>
  </si>
  <si>
    <t>Wal-Mart</t>
  </si>
  <si>
    <t>Pets</t>
  </si>
  <si>
    <t>Accessory</t>
  </si>
  <si>
    <t>adoption fee</t>
  </si>
  <si>
    <t>Cat</t>
  </si>
  <si>
    <t>Dog</t>
  </si>
  <si>
    <t>Supplies (1 Year)</t>
  </si>
  <si>
    <t>Total</t>
  </si>
  <si>
    <t xml:space="preserve">Vacations </t>
  </si>
  <si>
    <t xml:space="preserve">Carribean Cruise </t>
  </si>
  <si>
    <t>Orlando Them Park</t>
  </si>
  <si>
    <t xml:space="preserve">Chicago Museum </t>
  </si>
  <si>
    <t>Air Fare Rates</t>
  </si>
  <si>
    <t>Hotel</t>
  </si>
  <si>
    <t>Food</t>
  </si>
  <si>
    <t>Car rental</t>
  </si>
  <si>
    <t>Susans</t>
  </si>
  <si>
    <t>Disneyland</t>
  </si>
  <si>
    <t>Universal</t>
  </si>
  <si>
    <t>Sea World</t>
  </si>
  <si>
    <t>Busch Garden</t>
  </si>
  <si>
    <t>Natural Museum</t>
  </si>
  <si>
    <t>Chicago MA</t>
  </si>
  <si>
    <t>Science M</t>
  </si>
  <si>
    <t>M. broadCast Ht.</t>
  </si>
  <si>
    <t xml:space="preserve">Cruise </t>
  </si>
  <si>
    <t>basic necessities</t>
  </si>
  <si>
    <t>Fare</t>
  </si>
  <si>
    <t>No.People</t>
  </si>
  <si>
    <t xml:space="preserve">Days </t>
  </si>
  <si>
    <t>Total necessities</t>
  </si>
  <si>
    <t>Ind.necessities</t>
  </si>
  <si>
    <t>Days</t>
  </si>
  <si>
    <t>Epsilon</t>
  </si>
  <si>
    <t>Heavy Package</t>
  </si>
  <si>
    <t>Zero</t>
  </si>
  <si>
    <t>Prices</t>
  </si>
  <si>
    <t>Cost of Catridges</t>
  </si>
  <si>
    <t>Pages Cart. Can Print</t>
  </si>
  <si>
    <t>Cost per Pages</t>
  </si>
  <si>
    <t xml:space="preserve">Expected pages </t>
  </si>
  <si>
    <t>Days in a Week</t>
  </si>
  <si>
    <t>Week in a Year</t>
  </si>
  <si>
    <t>Total Pages in a Year</t>
  </si>
  <si>
    <t>Pages per Year</t>
  </si>
  <si>
    <t>Printing Cost per Year</t>
  </si>
  <si>
    <t xml:space="preserve">Years </t>
  </si>
  <si>
    <t>Total Printing Cost</t>
  </si>
  <si>
    <t>monthly Subs</t>
  </si>
  <si>
    <t>X-Mobile</t>
  </si>
  <si>
    <t>Veritium</t>
  </si>
  <si>
    <t>ABC</t>
  </si>
  <si>
    <t>Data Limit (GB)</t>
  </si>
  <si>
    <t xml:space="preserve">phone rental </t>
  </si>
  <si>
    <t>Extra Data charge</t>
  </si>
  <si>
    <t>Susan phone rental option</t>
  </si>
  <si>
    <t>total Month usaged</t>
  </si>
  <si>
    <t>phone rental monthly use</t>
  </si>
  <si>
    <t>phone intial cost</t>
  </si>
  <si>
    <t>Total Cost</t>
  </si>
  <si>
    <t>Tim phone rental option</t>
  </si>
  <si>
    <t>extra usage (GB)</t>
  </si>
  <si>
    <t>Total price</t>
  </si>
  <si>
    <t>Chevy Spark</t>
  </si>
  <si>
    <t>Ford Mustang</t>
  </si>
  <si>
    <t>Cadillac Escalade</t>
  </si>
  <si>
    <t>HP Engine</t>
  </si>
  <si>
    <t>insurance ( yearly)</t>
  </si>
  <si>
    <t xml:space="preserve">Sales Tax </t>
  </si>
  <si>
    <t xml:space="preserve">License </t>
  </si>
  <si>
    <t xml:space="preserve">Total Milleage </t>
  </si>
  <si>
    <t>Yearly cost</t>
  </si>
  <si>
    <t>Gas</t>
  </si>
  <si>
    <t>Price per Gal Gas</t>
  </si>
  <si>
    <t xml:space="preserve">Total Annual Gas </t>
  </si>
  <si>
    <t>MPG (Miles per Gal)</t>
  </si>
  <si>
    <t>the price per gallon is from california average price in July 2026</t>
  </si>
  <si>
    <t>Annual Milleage</t>
  </si>
  <si>
    <t>Lifepsan (Year)</t>
  </si>
  <si>
    <t>Initial Cost</t>
  </si>
  <si>
    <t xml:space="preserve">Initial price </t>
  </si>
  <si>
    <t>Loan</t>
  </si>
  <si>
    <t>Interest Percentage</t>
  </si>
  <si>
    <t>Interest amount</t>
  </si>
  <si>
    <t>Milleage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</si>
</sst>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FF0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0" fillId="5" borderId="0" xfId="0" applyFill="1"/>
    <xf numFmtId="0" fontId="0" fillId="6" borderId="0" xfId="0" applyFill="1"/>
    <xf numFmtId="44" fontId="0" fillId="2" borderId="0" xfId="1" applyFont="1" applyFill="1"/>
    <xf numFmtId="44" fontId="0" fillId="3" borderId="0" xfId="1" applyFont="1" applyFill="1"/>
    <xf numFmtId="44" fontId="2" fillId="4" borderId="0" xfId="1" applyFont="1" applyFill="1"/>
    <xf numFmtId="44" fontId="0" fillId="0" borderId="0" xfId="1" applyFont="1"/>
    <xf numFmtId="44" fontId="0" fillId="0" borderId="0" xfId="0" applyNumberFormat="1"/>
    <xf numFmtId="0" fontId="0" fillId="3" borderId="0" xfId="0" applyFill="1"/>
    <xf numFmtId="0" fontId="0" fillId="7" borderId="0" xfId="0" applyFill="1"/>
    <xf numFmtId="0" fontId="0" fillId="4" borderId="0" xfId="0" applyFill="1"/>
    <xf numFmtId="44" fontId="0" fillId="4" borderId="0" xfId="1" applyFont="1" applyFill="1"/>
    <xf numFmtId="44" fontId="0" fillId="7" borderId="0" xfId="1" applyFont="1" applyFill="1"/>
    <xf numFmtId="0" fontId="0" fillId="2" borderId="0" xfId="0" applyFill="1"/>
    <xf numFmtId="44" fontId="0" fillId="4" borderId="0" xfId="0" applyNumberFormat="1" applyFill="1"/>
    <xf numFmtId="44" fontId="0" fillId="5" borderId="0" xfId="0" applyNumberFormat="1" applyFill="1"/>
    <xf numFmtId="0" fontId="0" fillId="3" borderId="0" xfId="1" applyNumberFormat="1" applyFont="1" applyFill="1"/>
    <xf numFmtId="44" fontId="0" fillId="7" borderId="0" xfId="0" applyNumberFormat="1" applyFill="1"/>
    <xf numFmtId="44" fontId="0" fillId="3" borderId="0" xfId="0" applyNumberFormat="1" applyFill="1"/>
    <xf numFmtId="0" fontId="0" fillId="8" borderId="0" xfId="0" applyFill="1"/>
    <xf numFmtId="44" fontId="0" fillId="0" borderId="0" xfId="1" applyNumberFormat="1" applyFont="1"/>
    <xf numFmtId="0" fontId="0" fillId="9" borderId="0" xfId="0" applyFill="1"/>
    <xf numFmtId="44" fontId="0" fillId="9" borderId="0" xfId="1" applyNumberFormat="1" applyFont="1" applyFill="1"/>
    <xf numFmtId="44" fontId="0" fillId="7" borderId="0" xfId="1" applyNumberFormat="1" applyFont="1" applyFill="1"/>
    <xf numFmtId="0" fontId="0" fillId="7" borderId="0" xfId="1" applyNumberFormat="1" applyFont="1" applyFill="1"/>
    <xf numFmtId="0" fontId="0" fillId="4" borderId="0" xfId="1" applyNumberFormat="1" applyFont="1" applyFill="1"/>
    <xf numFmtId="0" fontId="0" fillId="10" borderId="0" xfId="0" applyFill="1"/>
    <xf numFmtId="44" fontId="0" fillId="10" borderId="0" xfId="0" applyNumberFormat="1" applyFill="1"/>
    <xf numFmtId="0" fontId="0" fillId="11" borderId="0" xfId="0" applyFill="1"/>
    <xf numFmtId="44" fontId="0" fillId="5" borderId="0" xfId="1" applyFont="1" applyFill="1"/>
    <xf numFmtId="0" fontId="0" fillId="2" borderId="0" xfId="1" applyNumberFormat="1" applyFont="1" applyFill="1"/>
    <xf numFmtId="0" fontId="0" fillId="0" borderId="0" xfId="0" applyFill="1"/>
    <xf numFmtId="44" fontId="0" fillId="0" borderId="0" xfId="1" applyFont="1" applyFill="1"/>
    <xf numFmtId="0" fontId="3" fillId="8" borderId="0" xfId="0" applyFont="1" applyFill="1"/>
    <xf numFmtId="0" fontId="2" fillId="8" borderId="0" xfId="0" applyFont="1" applyFill="1"/>
    <xf numFmtId="44" fontId="0" fillId="9" borderId="0" xfId="1" applyFont="1" applyFill="1"/>
    <xf numFmtId="9" fontId="0" fillId="3" borderId="0" xfId="2" applyFont="1" applyFill="1"/>
    <xf numFmtId="2" fontId="0" fillId="10" borderId="0" xfId="0" applyNumberFormat="1" applyFill="1"/>
  </cellXfs>
  <cellStyles count="3">
    <cellStyle name="Currency" xfId="1" builtinId="4"/>
    <cellStyle name="Normal" xfId="0" builtinId="0"/>
    <cellStyle name="Percent" xfId="2" builtinId="5"/>
  </cellStyles>
  <dxfs count="5">
    <dxf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  <a:r>
              <a:rPr lang="en-US" baseline="0"/>
              <a:t>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SchoolShopping!$Q$1</c:f>
              <c:strCache>
                <c:ptCount val="1"/>
                <c:pt idx="0">
                  <c:v>Susan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SchoolShopping!$P$2:$P$4</c:f>
              <c:strCache>
                <c:ptCount val="3"/>
                <c:pt idx="0">
                  <c:v>Wal-Mart</c:v>
                </c:pt>
                <c:pt idx="1">
                  <c:v>Dollar Trap</c:v>
                </c:pt>
                <c:pt idx="2">
                  <c:v>Office Repo</c:v>
                </c:pt>
              </c:strCache>
            </c:strRef>
          </c:cat>
          <c:val>
            <c:numRef>
              <c:f>SchoolShopping!$Q$2:$Q$4</c:f>
              <c:numCache>
                <c:formatCode>_("$"* #,##0.00_);_("$"* \(#,##0.00\);_("$"* "-"??_);_(@_)</c:formatCode>
                <c:ptCount val="3"/>
                <c:pt idx="0">
                  <c:v>119.7</c:v>
                </c:pt>
                <c:pt idx="1">
                  <c:v>125.85000000000001</c:v>
                </c:pt>
                <c:pt idx="2">
                  <c:v>157.6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6-4DAC-8940-58ABE2CF8F90}"/>
            </c:ext>
          </c:extLst>
        </c:ser>
        <c:ser>
          <c:idx val="1"/>
          <c:order val="1"/>
          <c:tx>
            <c:strRef>
              <c:f>SchoolShopping!$R$1</c:f>
              <c:strCache>
                <c:ptCount val="1"/>
                <c:pt idx="0">
                  <c:v>Tim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SchoolShopping!$P$2:$P$4</c:f>
              <c:strCache>
                <c:ptCount val="3"/>
                <c:pt idx="0">
                  <c:v>Wal-Mart</c:v>
                </c:pt>
                <c:pt idx="1">
                  <c:v>Dollar Trap</c:v>
                </c:pt>
                <c:pt idx="2">
                  <c:v>Office Repo</c:v>
                </c:pt>
              </c:strCache>
            </c:strRef>
          </c:cat>
          <c:val>
            <c:numRef>
              <c:f>SchoolShopping!$R$2:$R$4</c:f>
              <c:numCache>
                <c:formatCode>_("$"* #,##0.00_);_("$"* \(#,##0.00\);_("$"* "-"??_);_(@_)</c:formatCode>
                <c:ptCount val="3"/>
                <c:pt idx="0">
                  <c:v>75.899999999999991</c:v>
                </c:pt>
                <c:pt idx="1">
                  <c:v>71.499999999999986</c:v>
                </c:pt>
                <c:pt idx="2">
                  <c:v>108.45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6-4DAC-8940-58ABE2CF8F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1152207"/>
        <c:axId val="31153167"/>
        <c:axId val="0"/>
      </c:bar3DChart>
      <c:catAx>
        <c:axId val="31152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53167"/>
        <c:crosses val="autoZero"/>
        <c:auto val="1"/>
        <c:lblAlgn val="ctr"/>
        <c:lblOffset val="100"/>
        <c:noMultiLvlLbl val="0"/>
      </c:catAx>
      <c:valAx>
        <c:axId val="3115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152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First-Year Pet Cost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'Humane Society Pets Adoption'!$A$3</c:f>
              <c:strCache>
                <c:ptCount val="1"/>
                <c:pt idx="0">
                  <c:v>Cat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'Humane Society Pets Adoption'!$B$2:$E$2</c:f>
              <c:strCache>
                <c:ptCount val="4"/>
                <c:pt idx="0">
                  <c:v>adoption fee</c:v>
                </c:pt>
                <c:pt idx="1">
                  <c:v>Accessory</c:v>
                </c:pt>
                <c:pt idx="2">
                  <c:v>Supplies (1 Year)</c:v>
                </c:pt>
                <c:pt idx="3">
                  <c:v>Total</c:v>
                </c:pt>
              </c:strCache>
            </c:strRef>
          </c:cat>
          <c:val>
            <c:numRef>
              <c:f>'Humane Society Pets Adoption'!$B$3:$E$3</c:f>
              <c:numCache>
                <c:formatCode>_("$"* #,##0.00_);_("$"* \(#,##0.00\);_("$"* "-"??_);_(@_)</c:formatCode>
                <c:ptCount val="4"/>
                <c:pt idx="0">
                  <c:v>90</c:v>
                </c:pt>
                <c:pt idx="1">
                  <c:v>13.5</c:v>
                </c:pt>
                <c:pt idx="2">
                  <c:v>228</c:v>
                </c:pt>
                <c:pt idx="3">
                  <c:v>331.5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D7-4EEA-B52C-A76FA8F4487A}"/>
            </c:ext>
          </c:extLst>
        </c:ser>
        <c:ser>
          <c:idx val="1"/>
          <c:order val="1"/>
          <c:tx>
            <c:strRef>
              <c:f>'Humane Society Pets Adoption'!$A$4</c:f>
              <c:strCache>
                <c:ptCount val="1"/>
                <c:pt idx="0">
                  <c:v>Dog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'Humane Society Pets Adoption'!$B$2:$E$2</c:f>
              <c:strCache>
                <c:ptCount val="4"/>
                <c:pt idx="0">
                  <c:v>adoption fee</c:v>
                </c:pt>
                <c:pt idx="1">
                  <c:v>Accessory</c:v>
                </c:pt>
                <c:pt idx="2">
                  <c:v>Supplies (1 Year)</c:v>
                </c:pt>
                <c:pt idx="3">
                  <c:v>Total</c:v>
                </c:pt>
              </c:strCache>
            </c:strRef>
          </c:cat>
          <c:val>
            <c:numRef>
              <c:f>'Humane Society Pets Adoption'!$B$4:$E$4</c:f>
              <c:numCache>
                <c:formatCode>_("$"* #,##0.00_);_("$"* \(#,##0.00\);_("$"* "-"??_);_(@_)</c:formatCode>
                <c:ptCount val="4"/>
                <c:pt idx="0">
                  <c:v>50</c:v>
                </c:pt>
                <c:pt idx="1">
                  <c:v>18</c:v>
                </c:pt>
                <c:pt idx="2">
                  <c:v>288</c:v>
                </c:pt>
                <c:pt idx="3">
                  <c:v>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D7-4EEA-B52C-A76FA8F4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1545823"/>
        <c:axId val="451548703"/>
      </c:barChart>
      <c:catAx>
        <c:axId val="45154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548703"/>
        <c:crosses val="autoZero"/>
        <c:auto val="1"/>
        <c:lblAlgn val="ctr"/>
        <c:lblOffset val="100"/>
        <c:noMultiLvlLbl val="0"/>
      </c:catAx>
      <c:valAx>
        <c:axId val="45154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545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Tim's</a:t>
            </a:r>
            <a:r>
              <a:rPr lang="en-US" baseline="0"/>
              <a:t> Vacation Options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'3vacations'!$A$65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'3vacations'!$B$64:$D$64</c:f>
              <c:strCache>
                <c:ptCount val="3"/>
                <c:pt idx="0">
                  <c:v>Carribean Cruise </c:v>
                </c:pt>
                <c:pt idx="1">
                  <c:v>Orlando Them Park</c:v>
                </c:pt>
                <c:pt idx="2">
                  <c:v>Chicago Museum </c:v>
                </c:pt>
              </c:strCache>
            </c:strRef>
          </c:cat>
          <c:val>
            <c:numRef>
              <c:f>'3vacations'!$B$65:$D$65</c:f>
              <c:numCache>
                <c:formatCode>_("$"* #,##0.00_);_("$"* \(#,##0.00\);_("$"* "-"??_);_(@_)</c:formatCode>
                <c:ptCount val="3"/>
                <c:pt idx="0">
                  <c:v>3600</c:v>
                </c:pt>
                <c:pt idx="1">
                  <c:v>3076</c:v>
                </c:pt>
                <c:pt idx="2">
                  <c:v>2828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B-48AD-A437-17A8900812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1572223"/>
        <c:axId val="451575103"/>
      </c:barChart>
      <c:catAx>
        <c:axId val="45157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575103"/>
        <c:crosses val="autoZero"/>
        <c:auto val="1"/>
        <c:lblAlgn val="ctr"/>
        <c:lblOffset val="100"/>
        <c:noMultiLvlLbl val="0"/>
      </c:catAx>
      <c:valAx>
        <c:axId val="45157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57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'3vacations'!$A$32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'3vacations'!$B$31:$D$31</c:f>
              <c:strCache>
                <c:ptCount val="3"/>
                <c:pt idx="0">
                  <c:v>Carribean Cruise </c:v>
                </c:pt>
                <c:pt idx="1">
                  <c:v>Orlando Them Park</c:v>
                </c:pt>
                <c:pt idx="2">
                  <c:v>Chicago Museum </c:v>
                </c:pt>
              </c:strCache>
            </c:strRef>
          </c:cat>
          <c:val>
            <c:numRef>
              <c:f>'3vacations'!$B$32:$D$32</c:f>
              <c:numCache>
                <c:formatCode>_("$"* #,##0.00_);_("$"* \(#,##0.00\);_("$"* "-"??_);_(@_)</c:formatCode>
                <c:ptCount val="3"/>
                <c:pt idx="0">
                  <c:v>1800</c:v>
                </c:pt>
                <c:pt idx="1">
                  <c:v>1748</c:v>
                </c:pt>
                <c:pt idx="2">
                  <c:v>1734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2E-417F-B13A-7050DAAD8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1570303"/>
        <c:axId val="451570783"/>
      </c:barChart>
      <c:catAx>
        <c:axId val="451570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570783"/>
        <c:crosses val="autoZero"/>
        <c:auto val="1"/>
        <c:lblAlgn val="ctr"/>
        <c:lblOffset val="100"/>
        <c:noMultiLvlLbl val="0"/>
      </c:catAx>
      <c:valAx>
        <c:axId val="451570783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570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Susans Printing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printerCost!$A$20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printerCost!$B$19:$D$19</c:f>
              <c:strCache>
                <c:ptCount val="3"/>
                <c:pt idx="0">
                  <c:v>Epsilon</c:v>
                </c:pt>
                <c:pt idx="1">
                  <c:v>Heavy Package</c:v>
                </c:pt>
                <c:pt idx="2">
                  <c:v>Zero</c:v>
                </c:pt>
              </c:strCache>
            </c:strRef>
          </c:cat>
          <c:val>
            <c:numRef>
              <c:f>printerCost!$B$20:$D$20</c:f>
              <c:numCache>
                <c:formatCode>_("$"* #,##0.00_);_("$"* \(#,##0.00\);_("$"* "-"??_);_(@_)</c:formatCode>
                <c:ptCount val="3"/>
                <c:pt idx="0">
                  <c:v>1589</c:v>
                </c:pt>
                <c:pt idx="1">
                  <c:v>851</c:v>
                </c:pt>
                <c:pt idx="2">
                  <c:v>811.36363636363637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1F-4385-AB0B-6880080859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13191999"/>
        <c:axId val="1313192959"/>
      </c:barChart>
      <c:catAx>
        <c:axId val="131319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192959"/>
        <c:crosses val="autoZero"/>
        <c:auto val="1"/>
        <c:lblAlgn val="ctr"/>
        <c:lblOffset val="100"/>
        <c:noMultiLvlLbl val="0"/>
      </c:catAx>
      <c:valAx>
        <c:axId val="1313192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3191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Tim's Printing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printerCost!$A$41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printerCost!$B$40:$D$40</c:f>
              <c:strCache>
                <c:ptCount val="3"/>
                <c:pt idx="0">
                  <c:v>Epsilon</c:v>
                </c:pt>
                <c:pt idx="1">
                  <c:v>Heavy Package</c:v>
                </c:pt>
                <c:pt idx="2">
                  <c:v>Zero</c:v>
                </c:pt>
              </c:strCache>
            </c:strRef>
          </c:cat>
          <c:val>
            <c:numRef>
              <c:f>printerCost!$B$41:$D$41</c:f>
              <c:numCache>
                <c:formatCode>_("$"* #,##0.00_);_("$"* \(#,##0.00\);_("$"* "-"??_);_(@_)</c:formatCode>
                <c:ptCount val="3"/>
                <c:pt idx="0">
                  <c:v>52029</c:v>
                </c:pt>
                <c:pt idx="1">
                  <c:v>23549</c:v>
                </c:pt>
                <c:pt idx="2">
                  <c:v>9294.454545454546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E5-4CD4-9F31-975D1E0C2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9002303"/>
        <c:axId val="1509003263"/>
      </c:barChart>
      <c:catAx>
        <c:axId val="1509002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9003263"/>
        <c:crosses val="autoZero"/>
        <c:auto val="1"/>
        <c:lblAlgn val="ctr"/>
        <c:lblOffset val="100"/>
        <c:noMultiLvlLbl val="0"/>
      </c:catAx>
      <c:valAx>
        <c:axId val="1509003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9002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Susan 2 year plan Cell phone bill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'phone bill'!$A$17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'phone bill'!$B$16:$D$16</c:f>
              <c:strCache>
                <c:ptCount val="3"/>
                <c:pt idx="0">
                  <c:v>X-Mobile</c:v>
                </c:pt>
                <c:pt idx="1">
                  <c:v>Veritium</c:v>
                </c:pt>
                <c:pt idx="2">
                  <c:v>ABC</c:v>
                </c:pt>
              </c:strCache>
            </c:strRef>
          </c:cat>
          <c:val>
            <c:numRef>
              <c:f>'phone bill'!$B$17:$D$17</c:f>
              <c:numCache>
                <c:formatCode>_("$"* #,##0.00_);_("$"* \(#,##0.00\);_("$"* "-"??_);_(@_)</c:formatCode>
                <c:ptCount val="3"/>
                <c:pt idx="0">
                  <c:v>2136</c:v>
                </c:pt>
                <c:pt idx="1">
                  <c:v>2060</c:v>
                </c:pt>
                <c:pt idx="2">
                  <c:v>1560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4-4927-96B1-65D4B2883A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09015743"/>
        <c:axId val="1509023903"/>
      </c:barChart>
      <c:catAx>
        <c:axId val="150901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9023903"/>
        <c:crosses val="autoZero"/>
        <c:auto val="1"/>
        <c:lblAlgn val="ctr"/>
        <c:lblOffset val="100"/>
        <c:noMultiLvlLbl val="0"/>
      </c:catAx>
      <c:valAx>
        <c:axId val="1509023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9015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Tims 2</a:t>
            </a:r>
            <a:r>
              <a:rPr lang="en-US" baseline="0"/>
              <a:t> year plan Cell phone bill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'phone bill'!$A$35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'phone bill'!$B$34:$D$34</c:f>
              <c:strCache>
                <c:ptCount val="3"/>
                <c:pt idx="0">
                  <c:v>X-Mobile</c:v>
                </c:pt>
                <c:pt idx="1">
                  <c:v>Veritium</c:v>
                </c:pt>
                <c:pt idx="2">
                  <c:v>ABC</c:v>
                </c:pt>
              </c:strCache>
            </c:strRef>
          </c:cat>
          <c:val>
            <c:numRef>
              <c:f>'phone bill'!$B$35:$D$35</c:f>
              <c:numCache>
                <c:formatCode>_("$"* #,##0.00_);_("$"* \(#,##0.00\);_("$"* "-"??_);_(@_)</c:formatCode>
                <c:ptCount val="3"/>
                <c:pt idx="0">
                  <c:v>1176</c:v>
                </c:pt>
                <c:pt idx="1">
                  <c:v>1340</c:v>
                </c:pt>
                <c:pt idx="2">
                  <c:v>1320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13-40A0-BE0F-062C17F9B4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8979743"/>
        <c:axId val="1508977343"/>
      </c:barChart>
      <c:catAx>
        <c:axId val="1508979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8977343"/>
        <c:crosses val="autoZero"/>
        <c:auto val="1"/>
        <c:lblAlgn val="ctr"/>
        <c:lblOffset val="100"/>
        <c:noMultiLvlLbl val="0"/>
      </c:catAx>
      <c:valAx>
        <c:axId val="150897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8979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Susans option</a:t>
            </a:r>
            <a:r>
              <a:rPr lang="en-US" baseline="0"/>
              <a:t> </a:t>
            </a:r>
            <a:r>
              <a:rPr lang="en-US"/>
              <a:t>total cost</a:t>
            </a:r>
            <a:r>
              <a:rPr lang="en-US" baseline="0"/>
              <a:t> of getting a car</a:t>
            </a:r>
          </a:p>
        </c:rich>
      </c:tx>
      <c:layout>
        <c:manualLayout>
          <c:xMode val="edge"/>
          <c:yMode val="edge"/>
          <c:x val="0.24797900262467193"/>
          <c:y val="5.55555555555555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Sheet3!$B$30:$D$30</c:f>
              <c:strCache>
                <c:ptCount val="3"/>
                <c:pt idx="0">
                  <c:v>Chevy Spark</c:v>
                </c:pt>
                <c:pt idx="1">
                  <c:v>Ford Mustang</c:v>
                </c:pt>
                <c:pt idx="2">
                  <c:v>Cadillac Escalade</c:v>
                </c:pt>
              </c:strCache>
            </c:strRef>
          </c:cat>
          <c:val>
            <c:numRef>
              <c:f>Sheet3!$B$31:$D$31</c:f>
              <c:numCache>
                <c:formatCode>_("$"* #,##0.00_);_("$"* \(#,##0.00\);_("$"* "-"??_);_(@_)</c:formatCode>
                <c:ptCount val="3"/>
                <c:pt idx="0">
                  <c:v>68414.28571428571</c:v>
                </c:pt>
                <c:pt idx="1">
                  <c:v>127828.07017543861</c:v>
                </c:pt>
                <c:pt idx="2">
                  <c:v>187459.80392156861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3-448A-851C-99FDFF299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9014783"/>
        <c:axId val="1509007103"/>
      </c:barChart>
      <c:catAx>
        <c:axId val="150901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9007103"/>
        <c:crosses val="autoZero"/>
        <c:auto val="1"/>
        <c:lblAlgn val="ctr"/>
        <c:lblOffset val="100"/>
        <c:noMultiLvlLbl val="0"/>
      </c:catAx>
      <c:valAx>
        <c:axId val="1509007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90147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Sheet3!$A$63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Sheet3!$B$62:$D$62</c:f>
              <c:strCache>
                <c:ptCount val="3"/>
                <c:pt idx="0">
                  <c:v>Chevy Spark</c:v>
                </c:pt>
                <c:pt idx="1">
                  <c:v>Ford Mustang</c:v>
                </c:pt>
                <c:pt idx="2">
                  <c:v>Cadillac Escalade</c:v>
                </c:pt>
              </c:strCache>
            </c:strRef>
          </c:cat>
          <c:val>
            <c:numRef>
              <c:f>Sheet3!$B$63:$D$63</c:f>
              <c:numCache>
                <c:formatCode>_("$"* #,##0.00_);_("$"* \(#,##0.00\);_("$"* "-"??_);_(@_)</c:formatCode>
                <c:ptCount val="3"/>
                <c:pt idx="0">
                  <c:v>74214.28571428571</c:v>
                </c:pt>
                <c:pt idx="1">
                  <c:v>140228.0701754386</c:v>
                </c:pt>
                <c:pt idx="2">
                  <c:v>216259.80392156861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2A-4B9D-8D20-02FBE7F90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9026303"/>
        <c:axId val="1509026783"/>
      </c:barChart>
      <c:catAx>
        <c:axId val="15090263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9026783"/>
        <c:crosses val="autoZero"/>
        <c:auto val="1"/>
        <c:lblAlgn val="ctr"/>
        <c:lblOffset val="100"/>
        <c:noMultiLvlLbl val="0"/>
      </c:catAx>
      <c:valAx>
        <c:axId val="1509026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90263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180974</xdr:colOff>
      <xdr:row>5</xdr:row>
      <xdr:rowOff>38100</xdr:rowOff>
    </xdr:from>
    <xdr:to>
      <xdr:col>20</xdr:col>
      <xdr:colOff>19049</xdr:colOff>
      <xdr:row>16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4AF1ABA-1168-0554-BDF8-8DFEAF30DF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247650</xdr:colOff>
      <xdr:row>1</xdr:row>
      <xdr:rowOff>14287</xdr:rowOff>
    </xdr:from>
    <xdr:to>
      <xdr:col>12</xdr:col>
      <xdr:colOff>552450</xdr:colOff>
      <xdr:row>15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5BBE13-9EE1-600B-D8E8-492B47624F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571500</xdr:colOff>
      <xdr:row>44</xdr:row>
      <xdr:rowOff>119062</xdr:rowOff>
    </xdr:from>
    <xdr:to>
      <xdr:col>13</xdr:col>
      <xdr:colOff>266700</xdr:colOff>
      <xdr:row>59</xdr:row>
      <xdr:rowOff>4762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5C959A9-25FA-BE59-113A-EF2E59A6DB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520210</xdr:colOff>
      <xdr:row>14</xdr:row>
      <xdr:rowOff>64477</xdr:rowOff>
    </xdr:from>
    <xdr:to>
      <xdr:col>14</xdr:col>
      <xdr:colOff>168518</xdr:colOff>
      <xdr:row>28</xdr:row>
      <xdr:rowOff>140677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1C58BB-F26F-2359-3446-243FEDFBC6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409575</xdr:colOff>
      <xdr:row>2</xdr:row>
      <xdr:rowOff>23812</xdr:rowOff>
    </xdr:from>
    <xdr:to>
      <xdr:col>12</xdr:col>
      <xdr:colOff>104775</xdr:colOff>
      <xdr:row>16</xdr:row>
      <xdr:rowOff>100012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E9B514-52E4-50F2-E6FB-20E04FA4E9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466725</xdr:colOff>
      <xdr:row>25</xdr:row>
      <xdr:rowOff>71437</xdr:rowOff>
    </xdr:from>
    <xdr:to>
      <xdr:col>13</xdr:col>
      <xdr:colOff>161925</xdr:colOff>
      <xdr:row>39</xdr:row>
      <xdr:rowOff>147637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88B60D-9DB6-6C3A-0E3E-BFF5295989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581025</xdr:colOff>
      <xdr:row>1</xdr:row>
      <xdr:rowOff>128587</xdr:rowOff>
    </xdr:from>
    <xdr:to>
      <xdr:col>12</xdr:col>
      <xdr:colOff>276225</xdr:colOff>
      <xdr:row>16</xdr:row>
      <xdr:rowOff>14287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5B14A9-AF5B-75FB-8244-40E2502324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80962</xdr:colOff>
      <xdr:row>20</xdr:row>
      <xdr:rowOff>166687</xdr:rowOff>
    </xdr:from>
    <xdr:to>
      <xdr:col>12</xdr:col>
      <xdr:colOff>385762</xdr:colOff>
      <xdr:row>35</xdr:row>
      <xdr:rowOff>52387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8E75AF-4751-66A2-5B8F-1697FD8FD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450849</xdr:colOff>
      <xdr:row>16</xdr:row>
      <xdr:rowOff>0</xdr:rowOff>
    </xdr:from>
    <xdr:to>
      <xdr:col>13</xdr:col>
      <xdr:colOff>146049</xdr:colOff>
      <xdr:row>30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40BFEB-9A75-44F0-0B81-1A97D7983F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476249</xdr:colOff>
      <xdr:row>41</xdr:row>
      <xdr:rowOff>165100</xdr:rowOff>
    </xdr:from>
    <xdr:to>
      <xdr:col>12</xdr:col>
      <xdr:colOff>171449</xdr:colOff>
      <xdr:row>56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0AAB4E3-1B2C-55F9-77D5-F97AEBEDD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A7AEC2-C942-4F56-911D-94589DC87895}" name="Table1" displayName="Table1" ref="A2:E4" totalsRowShown="0" dataDxfId="4" dataCellStyle="Currency">
  <autoFilter ref="A2:E4" xr:uid="{66A7AEC2-C942-4F56-911D-94589DC87895}"/>
  <tableColumns count="5">
    <tableColumn id="1" xr3:uid="{4CB64636-CA19-437F-B06E-6D4DEB088CD3}" name="Pets"/>
    <tableColumn id="2" xr3:uid="{19192E72-3452-4C38-8C63-DE99A5D32BC3}" name="adoption fee" dataDxfId="3" dataCellStyle="Currency"/>
    <tableColumn id="3" xr3:uid="{2FEEB945-89B3-4A68-B9D0-9C1A9CC7BAF3}" name="Accessory" dataDxfId="2" dataCellStyle="Currency">
      <calculatedColumnFormula>2.5+5.5+7+3</calculatedColumnFormula>
    </tableColumn>
    <tableColumn id="4" xr3:uid="{466A5671-F15F-42B0-B461-A8691A0971B4}" name="Supplies (1 Year)" dataDxfId="1" dataCellStyle="Currency">
      <calculatedColumnFormula>(21+3)*12</calculatedColumnFormula>
    </tableColumn>
    <tableColumn id="5" xr3:uid="{924AB36C-4334-4DCF-B731-C06328305927}" name="Total" dataDxfId="0">
      <calculatedColumnFormula>SUM(B3:D3)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45CE0-BAAA-4150-B545-636B5E2FA027}">
  <dimension ref="A1:R20"/>
  <sheetViews>
    <sheetView zoomScale="90" zoomScaleNormal="90" workbookViewId="0">
      <selection activeCell="I7" sqref="I7"/>
    </sheetView>
  </sheetViews>
  <sheetFormatPr defaultRowHeight="15" x14ac:dyDescent="0.25"/>
  <cols>
    <col min="1" max="1" width="17.7109375" bestFit="1" customWidth="1"/>
    <col min="2" max="4" width="11.140625" bestFit="1" customWidth="1"/>
  </cols>
  <sheetData>
    <row r="1" spans="1:18" x14ac:dyDescent="0.25">
      <c r="A1" t="s">
        <v>0</v>
      </c>
      <c r="B1" t="s">
        <v>16</v>
      </c>
      <c r="C1" t="s">
        <v>17</v>
      </c>
      <c r="D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P1" t="s">
        <v>28</v>
      </c>
      <c r="Q1" t="s">
        <v>19</v>
      </c>
      <c r="R1" t="s">
        <v>20</v>
      </c>
    </row>
    <row r="2" spans="1:18" x14ac:dyDescent="0.25">
      <c r="A2" t="s">
        <v>1</v>
      </c>
      <c r="B2" s="3">
        <v>0.5</v>
      </c>
      <c r="C2" s="4">
        <v>0.4</v>
      </c>
      <c r="D2" s="5">
        <v>1.4</v>
      </c>
      <c r="F2" s="1">
        <v>3</v>
      </c>
      <c r="G2" s="2">
        <v>5</v>
      </c>
      <c r="H2" s="6">
        <f>$F2*B2</f>
        <v>1.5</v>
      </c>
      <c r="I2" s="6">
        <f t="shared" ref="I2:J2" si="0">$F2*C2</f>
        <v>1.2000000000000002</v>
      </c>
      <c r="J2" s="6">
        <f t="shared" si="0"/>
        <v>4.1999999999999993</v>
      </c>
      <c r="K2" s="6">
        <f>$G2*B2</f>
        <v>2.5</v>
      </c>
      <c r="L2" s="6">
        <f t="shared" ref="L2:M2" si="1">$G2*C2</f>
        <v>2</v>
      </c>
      <c r="M2" s="6">
        <f t="shared" si="1"/>
        <v>7</v>
      </c>
      <c r="P2" t="s">
        <v>29</v>
      </c>
      <c r="Q2" s="7">
        <f>SUM(H$2:H$16)</f>
        <v>119.7</v>
      </c>
      <c r="R2" s="7">
        <f>K17</f>
        <v>75.899999999999991</v>
      </c>
    </row>
    <row r="3" spans="1:18" x14ac:dyDescent="0.25">
      <c r="A3" t="s">
        <v>2</v>
      </c>
      <c r="B3" s="3">
        <v>28</v>
      </c>
      <c r="C3" s="4">
        <v>33</v>
      </c>
      <c r="D3" s="5">
        <v>31</v>
      </c>
      <c r="F3" s="1">
        <v>2</v>
      </c>
      <c r="G3" s="2">
        <v>1</v>
      </c>
      <c r="H3" s="6">
        <f t="shared" ref="H3:H16" si="2">$F3*B3</f>
        <v>56</v>
      </c>
      <c r="I3" s="6">
        <f t="shared" ref="I3:I16" si="3">$F3*C3</f>
        <v>66</v>
      </c>
      <c r="J3" s="6">
        <f t="shared" ref="J3:J16" si="4">$F3*D3</f>
        <v>62</v>
      </c>
      <c r="K3" s="6">
        <f t="shared" ref="K3:K16" si="5">$G3*B3</f>
        <v>28</v>
      </c>
      <c r="L3" s="6">
        <f t="shared" ref="L3:L16" si="6">$G3*C3</f>
        <v>33</v>
      </c>
      <c r="M3" s="6">
        <f t="shared" ref="M3:M16" si="7">$G3*D3</f>
        <v>31</v>
      </c>
      <c r="P3" t="s">
        <v>17</v>
      </c>
      <c r="Q3" s="7">
        <f>SUM(I$2:I$16)</f>
        <v>125.85000000000001</v>
      </c>
      <c r="R3" s="7">
        <f>L17</f>
        <v>71.499999999999986</v>
      </c>
    </row>
    <row r="4" spans="1:18" x14ac:dyDescent="0.25">
      <c r="A4" t="s">
        <v>3</v>
      </c>
      <c r="B4" s="3">
        <v>1.8</v>
      </c>
      <c r="C4" s="4">
        <v>1</v>
      </c>
      <c r="D4" s="5">
        <v>2</v>
      </c>
      <c r="F4" s="1">
        <v>7</v>
      </c>
      <c r="G4" s="2">
        <v>4</v>
      </c>
      <c r="H4" s="6">
        <f t="shared" si="2"/>
        <v>12.6</v>
      </c>
      <c r="I4" s="6">
        <f t="shared" si="3"/>
        <v>7</v>
      </c>
      <c r="J4" s="6">
        <f t="shared" si="4"/>
        <v>14</v>
      </c>
      <c r="K4" s="6">
        <f t="shared" si="5"/>
        <v>7.2</v>
      </c>
      <c r="L4" s="6">
        <f t="shared" si="6"/>
        <v>4</v>
      </c>
      <c r="M4" s="6">
        <f t="shared" si="7"/>
        <v>8</v>
      </c>
      <c r="P4" t="s">
        <v>18</v>
      </c>
      <c r="Q4" s="7">
        <f>SUM(J$2:J$16)</f>
        <v>157.6</v>
      </c>
      <c r="R4" s="7">
        <f>M17</f>
        <v>108.45</v>
      </c>
    </row>
    <row r="5" spans="1:18" x14ac:dyDescent="0.25">
      <c r="A5" t="s">
        <v>4</v>
      </c>
      <c r="B5" s="3">
        <v>1.2</v>
      </c>
      <c r="C5" s="4">
        <v>0.8</v>
      </c>
      <c r="D5" s="5">
        <v>1.5</v>
      </c>
      <c r="F5" s="1">
        <v>1</v>
      </c>
      <c r="G5" s="2">
        <v>2</v>
      </c>
      <c r="H5" s="6">
        <f t="shared" si="2"/>
        <v>1.2</v>
      </c>
      <c r="I5" s="6">
        <f t="shared" si="3"/>
        <v>0.8</v>
      </c>
      <c r="J5" s="6">
        <f t="shared" si="4"/>
        <v>1.5</v>
      </c>
      <c r="K5" s="6">
        <f t="shared" si="5"/>
        <v>2.4</v>
      </c>
      <c r="L5" s="6">
        <f t="shared" si="6"/>
        <v>1.6</v>
      </c>
      <c r="M5" s="6">
        <f t="shared" si="7"/>
        <v>3</v>
      </c>
    </row>
    <row r="6" spans="1:18" x14ac:dyDescent="0.25">
      <c r="A6" t="s">
        <v>5</v>
      </c>
      <c r="B6" s="3">
        <v>2.4</v>
      </c>
      <c r="C6" s="4">
        <v>1.4</v>
      </c>
      <c r="D6" s="5">
        <v>2.4</v>
      </c>
      <c r="F6" s="1">
        <v>2</v>
      </c>
      <c r="G6" s="2">
        <v>2</v>
      </c>
      <c r="H6" s="6">
        <f t="shared" si="2"/>
        <v>4.8</v>
      </c>
      <c r="I6" s="6">
        <f t="shared" si="3"/>
        <v>2.8</v>
      </c>
      <c r="J6" s="6">
        <f t="shared" si="4"/>
        <v>4.8</v>
      </c>
      <c r="K6" s="6">
        <f t="shared" si="5"/>
        <v>4.8</v>
      </c>
      <c r="L6" s="6">
        <f t="shared" si="6"/>
        <v>2.8</v>
      </c>
      <c r="M6" s="6">
        <f t="shared" si="7"/>
        <v>4.8</v>
      </c>
    </row>
    <row r="7" spans="1:18" x14ac:dyDescent="0.25">
      <c r="A7" t="s">
        <v>6</v>
      </c>
      <c r="B7" s="3">
        <v>0.9</v>
      </c>
      <c r="C7" s="4">
        <v>0.2</v>
      </c>
      <c r="D7" s="5">
        <v>0.8</v>
      </c>
      <c r="F7" s="1">
        <v>2</v>
      </c>
      <c r="G7" s="2">
        <v>2</v>
      </c>
      <c r="H7" s="6">
        <f t="shared" si="2"/>
        <v>1.8</v>
      </c>
      <c r="I7" s="6">
        <f t="shared" si="3"/>
        <v>0.4</v>
      </c>
      <c r="J7" s="6">
        <f t="shared" si="4"/>
        <v>1.6</v>
      </c>
      <c r="K7" s="6">
        <f t="shared" si="5"/>
        <v>1.8</v>
      </c>
      <c r="L7" s="6">
        <f t="shared" si="6"/>
        <v>0.4</v>
      </c>
      <c r="M7" s="6">
        <f t="shared" si="7"/>
        <v>1.6</v>
      </c>
    </row>
    <row r="8" spans="1:18" x14ac:dyDescent="0.25">
      <c r="A8" t="s">
        <v>7</v>
      </c>
      <c r="B8" s="3">
        <v>0.99</v>
      </c>
      <c r="C8" s="4">
        <v>0.59</v>
      </c>
      <c r="D8" s="5">
        <v>2.59</v>
      </c>
      <c r="F8" s="1">
        <v>10</v>
      </c>
      <c r="G8" s="2">
        <v>10</v>
      </c>
      <c r="H8" s="6">
        <f t="shared" si="2"/>
        <v>9.9</v>
      </c>
      <c r="I8" s="6">
        <f t="shared" si="3"/>
        <v>5.8999999999999995</v>
      </c>
      <c r="J8" s="6">
        <f t="shared" si="4"/>
        <v>25.9</v>
      </c>
      <c r="K8" s="6">
        <f t="shared" si="5"/>
        <v>9.9</v>
      </c>
      <c r="L8" s="6">
        <f t="shared" si="6"/>
        <v>5.8999999999999995</v>
      </c>
      <c r="M8" s="6">
        <f t="shared" si="7"/>
        <v>25.9</v>
      </c>
    </row>
    <row r="9" spans="1:18" x14ac:dyDescent="0.25">
      <c r="A9" t="s">
        <v>8</v>
      </c>
      <c r="B9" s="3">
        <v>1.25</v>
      </c>
      <c r="C9" s="4">
        <v>3.25</v>
      </c>
      <c r="D9" s="5">
        <v>2.15</v>
      </c>
      <c r="F9" s="1">
        <v>4</v>
      </c>
      <c r="G9" s="2">
        <v>1</v>
      </c>
      <c r="H9" s="6">
        <f t="shared" si="2"/>
        <v>5</v>
      </c>
      <c r="I9" s="6">
        <f t="shared" si="3"/>
        <v>13</v>
      </c>
      <c r="J9" s="6">
        <f t="shared" si="4"/>
        <v>8.6</v>
      </c>
      <c r="K9" s="6">
        <f t="shared" si="5"/>
        <v>1.25</v>
      </c>
      <c r="L9" s="6">
        <f t="shared" si="6"/>
        <v>3.25</v>
      </c>
      <c r="M9" s="6">
        <f t="shared" si="7"/>
        <v>2.15</v>
      </c>
    </row>
    <row r="10" spans="1:18" x14ac:dyDescent="0.25">
      <c r="A10" t="s">
        <v>9</v>
      </c>
      <c r="B10" s="3">
        <v>9.5</v>
      </c>
      <c r="C10" s="4">
        <v>14</v>
      </c>
      <c r="D10" s="5">
        <v>13</v>
      </c>
      <c r="F10" s="1">
        <v>1</v>
      </c>
      <c r="G10" s="2">
        <v>1</v>
      </c>
      <c r="H10" s="6">
        <f t="shared" si="2"/>
        <v>9.5</v>
      </c>
      <c r="I10" s="6">
        <f t="shared" si="3"/>
        <v>14</v>
      </c>
      <c r="J10" s="6">
        <f t="shared" si="4"/>
        <v>13</v>
      </c>
      <c r="K10" s="6">
        <f t="shared" si="5"/>
        <v>9.5</v>
      </c>
      <c r="L10" s="6">
        <f t="shared" si="6"/>
        <v>14</v>
      </c>
      <c r="M10" s="6">
        <f t="shared" si="7"/>
        <v>13</v>
      </c>
    </row>
    <row r="11" spans="1:18" x14ac:dyDescent="0.25">
      <c r="A11" t="s">
        <v>10</v>
      </c>
      <c r="B11" s="3">
        <v>4.55</v>
      </c>
      <c r="C11" s="4">
        <v>2.5499999999999998</v>
      </c>
      <c r="D11" s="5">
        <v>6</v>
      </c>
      <c r="F11" s="1">
        <v>1</v>
      </c>
      <c r="G11" s="2">
        <v>1</v>
      </c>
      <c r="H11" s="6">
        <f t="shared" si="2"/>
        <v>4.55</v>
      </c>
      <c r="I11" s="6">
        <f t="shared" si="3"/>
        <v>2.5499999999999998</v>
      </c>
      <c r="J11" s="6">
        <f t="shared" si="4"/>
        <v>6</v>
      </c>
      <c r="K11" s="6">
        <f t="shared" si="5"/>
        <v>4.55</v>
      </c>
      <c r="L11" s="6">
        <f t="shared" si="6"/>
        <v>2.5499999999999998</v>
      </c>
      <c r="M11" s="6">
        <f t="shared" si="7"/>
        <v>6</v>
      </c>
    </row>
    <row r="12" spans="1:18" x14ac:dyDescent="0.25">
      <c r="A12" t="s">
        <v>11</v>
      </c>
      <c r="B12" s="3">
        <v>4.2</v>
      </c>
      <c r="C12" s="4">
        <v>2.2000000000000002</v>
      </c>
      <c r="D12" s="5">
        <v>3</v>
      </c>
      <c r="F12" s="1">
        <v>1</v>
      </c>
      <c r="G12" s="2">
        <v>0</v>
      </c>
      <c r="H12" s="6">
        <f t="shared" si="2"/>
        <v>4.2</v>
      </c>
      <c r="I12" s="6">
        <f t="shared" si="3"/>
        <v>2.2000000000000002</v>
      </c>
      <c r="J12" s="6">
        <f t="shared" si="4"/>
        <v>3</v>
      </c>
      <c r="K12" s="6">
        <f t="shared" si="5"/>
        <v>0</v>
      </c>
      <c r="L12" s="6">
        <f t="shared" si="6"/>
        <v>0</v>
      </c>
      <c r="M12" s="6">
        <f t="shared" si="7"/>
        <v>0</v>
      </c>
    </row>
    <row r="13" spans="1:18" x14ac:dyDescent="0.25">
      <c r="A13" t="s">
        <v>12</v>
      </c>
      <c r="B13" s="3">
        <v>3.9</v>
      </c>
      <c r="C13" s="4">
        <v>5</v>
      </c>
      <c r="D13" s="5">
        <v>8</v>
      </c>
      <c r="F13" s="1">
        <v>1</v>
      </c>
      <c r="G13" s="2">
        <v>0</v>
      </c>
      <c r="H13" s="6">
        <f t="shared" si="2"/>
        <v>3.9</v>
      </c>
      <c r="I13" s="6">
        <f t="shared" si="3"/>
        <v>5</v>
      </c>
      <c r="J13" s="6">
        <f t="shared" si="4"/>
        <v>8</v>
      </c>
      <c r="K13" s="6">
        <f t="shared" si="5"/>
        <v>0</v>
      </c>
      <c r="L13" s="6">
        <f t="shared" si="6"/>
        <v>0</v>
      </c>
      <c r="M13" s="6">
        <f t="shared" si="7"/>
        <v>0</v>
      </c>
    </row>
    <row r="14" spans="1:18" x14ac:dyDescent="0.25">
      <c r="A14" t="s">
        <v>13</v>
      </c>
      <c r="B14" s="3">
        <v>1</v>
      </c>
      <c r="C14" s="4">
        <v>2</v>
      </c>
      <c r="D14" s="5">
        <v>1</v>
      </c>
      <c r="F14" s="1">
        <v>1</v>
      </c>
      <c r="G14" s="2">
        <v>0</v>
      </c>
      <c r="H14" s="6">
        <f t="shared" si="2"/>
        <v>1</v>
      </c>
      <c r="I14" s="6">
        <f t="shared" si="3"/>
        <v>2</v>
      </c>
      <c r="J14" s="6">
        <f t="shared" si="4"/>
        <v>1</v>
      </c>
      <c r="K14" s="6">
        <f t="shared" si="5"/>
        <v>0</v>
      </c>
      <c r="L14" s="6">
        <f t="shared" si="6"/>
        <v>0</v>
      </c>
      <c r="M14" s="6">
        <f t="shared" si="7"/>
        <v>0</v>
      </c>
    </row>
    <row r="15" spans="1:18" x14ac:dyDescent="0.25">
      <c r="A15" t="s">
        <v>14</v>
      </c>
      <c r="B15" s="3">
        <v>1.75</v>
      </c>
      <c r="C15" s="4">
        <v>2</v>
      </c>
      <c r="D15" s="5">
        <v>1</v>
      </c>
      <c r="F15" s="1">
        <v>1</v>
      </c>
      <c r="G15" s="2">
        <v>0</v>
      </c>
      <c r="H15" s="6">
        <f t="shared" si="2"/>
        <v>1.75</v>
      </c>
      <c r="I15" s="6">
        <f t="shared" si="3"/>
        <v>2</v>
      </c>
      <c r="J15" s="6">
        <f t="shared" si="4"/>
        <v>1</v>
      </c>
      <c r="K15" s="6">
        <f t="shared" si="5"/>
        <v>0</v>
      </c>
      <c r="L15" s="6">
        <f t="shared" si="6"/>
        <v>0</v>
      </c>
      <c r="M15" s="6">
        <f t="shared" si="7"/>
        <v>0</v>
      </c>
    </row>
    <row r="16" spans="1:18" x14ac:dyDescent="0.25">
      <c r="A16" t="s">
        <v>15</v>
      </c>
      <c r="B16" s="3">
        <v>2</v>
      </c>
      <c r="C16" s="4">
        <v>1</v>
      </c>
      <c r="D16" s="5">
        <v>3</v>
      </c>
      <c r="F16" s="1">
        <v>1</v>
      </c>
      <c r="G16" s="2">
        <v>2</v>
      </c>
      <c r="H16" s="6">
        <f t="shared" si="2"/>
        <v>2</v>
      </c>
      <c r="I16" s="6">
        <f t="shared" si="3"/>
        <v>1</v>
      </c>
      <c r="J16" s="6">
        <f t="shared" si="4"/>
        <v>3</v>
      </c>
      <c r="K16" s="6">
        <f t="shared" si="5"/>
        <v>4</v>
      </c>
      <c r="L16" s="6">
        <f t="shared" si="6"/>
        <v>2</v>
      </c>
      <c r="M16" s="6">
        <f t="shared" si="7"/>
        <v>6</v>
      </c>
    </row>
    <row r="17" spans="1:13" x14ac:dyDescent="0.25">
      <c r="H17" s="6">
        <f>SUM(H2:H16)</f>
        <v>119.7</v>
      </c>
      <c r="I17" s="6">
        <f t="shared" ref="I17:M17" si="8">SUM(I2:I16)</f>
        <v>125.85000000000001</v>
      </c>
      <c r="J17" s="6">
        <f t="shared" si="8"/>
        <v>157.6</v>
      </c>
      <c r="K17" s="6">
        <f t="shared" si="8"/>
        <v>75.899999999999991</v>
      </c>
      <c r="L17" s="6">
        <f t="shared" si="8"/>
        <v>71.499999999999986</v>
      </c>
      <c r="M17" s="6">
        <f t="shared" si="8"/>
        <v>108.45</v>
      </c>
    </row>
    <row r="20" spans="1:13" x14ac:dyDescent="0.25">
      <c r="A20" t="s">
        <v>27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7FC39-64AE-4922-BCBC-457D99268183}">
  <dimension ref="A2:E4"/>
  <sheetViews>
    <sheetView workbookViewId="0">
      <selection activeCell="E17" sqref="E17"/>
    </sheetView>
  </sheetViews>
  <sheetFormatPr defaultRowHeight="15" x14ac:dyDescent="0.25"/>
  <cols>
    <col min="1" max="1" width="6.85546875" customWidth="1"/>
    <col min="2" max="2" width="14.140625" customWidth="1"/>
    <col min="3" max="3" width="12" customWidth="1"/>
    <col min="4" max="4" width="17.85546875" customWidth="1"/>
    <col min="5" max="5" width="14" customWidth="1"/>
  </cols>
  <sheetData>
    <row r="2" spans="1:5" x14ac:dyDescent="0.25">
      <c r="A2" t="s">
        <v>30</v>
      </c>
      <c r="B2" t="s">
        <v>32</v>
      </c>
      <c r="C2" t="s">
        <v>31</v>
      </c>
      <c r="D2" t="s">
        <v>35</v>
      </c>
      <c r="E2" t="s">
        <v>36</v>
      </c>
    </row>
    <row r="3" spans="1:5" x14ac:dyDescent="0.25">
      <c r="A3" t="s">
        <v>33</v>
      </c>
      <c r="B3" s="6">
        <v>90</v>
      </c>
      <c r="C3" s="6">
        <f>2+4.5+7</f>
        <v>13.5</v>
      </c>
      <c r="D3" s="6">
        <f>(11+8)*12</f>
        <v>228</v>
      </c>
      <c r="E3" s="7">
        <f>SUM(B3:D3)</f>
        <v>331.5</v>
      </c>
    </row>
    <row r="4" spans="1:5" x14ac:dyDescent="0.25">
      <c r="A4" t="s">
        <v>34</v>
      </c>
      <c r="B4" s="6">
        <v>50</v>
      </c>
      <c r="C4" s="6">
        <f>2.5+5.5+7+3</f>
        <v>18</v>
      </c>
      <c r="D4" s="6">
        <f>(21+3)*12</f>
        <v>288</v>
      </c>
      <c r="E4" s="7">
        <f>SUM(B4:D4)</f>
        <v>356</v>
      </c>
    </row>
  </sheetData>
  <conditionalFormatting sqref="E3:E4">
    <cfRule type="iconSet" priority="1">
      <iconSet iconSet="3Symbols" reverse="1">
        <cfvo type="percent" val="0"/>
        <cfvo type="percent" val="33"/>
        <cfvo type="percent" val="67"/>
      </iconSet>
    </cfRule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8F827-2171-4F14-8765-98EB680BDCEF}">
  <dimension ref="A1:D65"/>
  <sheetViews>
    <sheetView topLeftCell="A28" zoomScale="65" zoomScaleNormal="65" workbookViewId="0">
      <selection activeCell="S18" sqref="S18"/>
    </sheetView>
  </sheetViews>
  <sheetFormatPr defaultRowHeight="15" x14ac:dyDescent="0.25"/>
  <cols>
    <col min="1" max="2" width="16.28515625" bestFit="1" customWidth="1"/>
    <col min="3" max="3" width="18.28515625" bestFit="1" customWidth="1"/>
    <col min="4" max="4" width="16.7109375" bestFit="1" customWidth="1"/>
  </cols>
  <sheetData>
    <row r="1" spans="1:4" s="19" customFormat="1" x14ac:dyDescent="0.25">
      <c r="A1" s="19" t="s">
        <v>45</v>
      </c>
    </row>
    <row r="2" spans="1:4" x14ac:dyDescent="0.25">
      <c r="A2" s="13" t="s">
        <v>37</v>
      </c>
      <c r="B2" s="13" t="s">
        <v>38</v>
      </c>
      <c r="C2" s="13" t="s">
        <v>39</v>
      </c>
      <c r="D2" s="13" t="s">
        <v>40</v>
      </c>
    </row>
    <row r="3" spans="1:4" x14ac:dyDescent="0.25">
      <c r="A3" s="8" t="s">
        <v>46</v>
      </c>
      <c r="B3" s="4">
        <v>0</v>
      </c>
      <c r="C3" s="4">
        <v>99</v>
      </c>
      <c r="D3" s="4">
        <v>0</v>
      </c>
    </row>
    <row r="4" spans="1:4" x14ac:dyDescent="0.25">
      <c r="A4" s="8" t="s">
        <v>47</v>
      </c>
      <c r="B4" s="4">
        <v>0</v>
      </c>
      <c r="C4" s="4">
        <v>95</v>
      </c>
      <c r="D4" s="4">
        <v>0</v>
      </c>
    </row>
    <row r="5" spans="1:4" x14ac:dyDescent="0.25">
      <c r="A5" s="8" t="s">
        <v>48</v>
      </c>
      <c r="B5" s="4">
        <v>0</v>
      </c>
      <c r="C5" s="4">
        <v>85</v>
      </c>
      <c r="D5" s="4">
        <v>0</v>
      </c>
    </row>
    <row r="6" spans="1:4" x14ac:dyDescent="0.25">
      <c r="A6" s="8" t="s">
        <v>49</v>
      </c>
      <c r="B6" s="4">
        <v>0</v>
      </c>
      <c r="C6" s="4">
        <v>85</v>
      </c>
      <c r="D6" s="4">
        <v>0</v>
      </c>
    </row>
    <row r="7" spans="1:4" x14ac:dyDescent="0.25">
      <c r="A7" s="8" t="s">
        <v>50</v>
      </c>
      <c r="B7" s="4">
        <v>0</v>
      </c>
      <c r="C7" s="4">
        <v>0</v>
      </c>
      <c r="D7" s="4">
        <v>18</v>
      </c>
    </row>
    <row r="8" spans="1:4" x14ac:dyDescent="0.25">
      <c r="A8" s="8" t="s">
        <v>51</v>
      </c>
      <c r="B8" s="4">
        <v>0</v>
      </c>
      <c r="C8" s="4">
        <v>0</v>
      </c>
      <c r="D8" s="4">
        <v>25</v>
      </c>
    </row>
    <row r="9" spans="1:4" x14ac:dyDescent="0.25">
      <c r="A9" s="8" t="s">
        <v>52</v>
      </c>
      <c r="B9" s="4">
        <v>0</v>
      </c>
      <c r="C9" s="4">
        <v>0</v>
      </c>
      <c r="D9" s="4">
        <v>15</v>
      </c>
    </row>
    <row r="10" spans="1:4" x14ac:dyDescent="0.25">
      <c r="A10" s="8" t="s">
        <v>53</v>
      </c>
      <c r="B10" s="4">
        <v>0</v>
      </c>
      <c r="C10" s="4">
        <v>0</v>
      </c>
      <c r="D10" s="4">
        <v>9</v>
      </c>
    </row>
    <row r="11" spans="1:4" x14ac:dyDescent="0.25">
      <c r="A11" s="8" t="s">
        <v>54</v>
      </c>
      <c r="B11" s="4">
        <v>550</v>
      </c>
      <c r="C11" s="4">
        <v>0</v>
      </c>
      <c r="D11" s="4">
        <v>0</v>
      </c>
    </row>
    <row r="12" spans="1:4" x14ac:dyDescent="0.25">
      <c r="A12" s="8" t="s">
        <v>57</v>
      </c>
      <c r="B12" s="16">
        <v>2</v>
      </c>
      <c r="C12" s="16">
        <v>2</v>
      </c>
      <c r="D12" s="16">
        <v>2</v>
      </c>
    </row>
    <row r="13" spans="1:4" x14ac:dyDescent="0.25">
      <c r="A13" s="8" t="s">
        <v>36</v>
      </c>
      <c r="B13" s="4">
        <f>(SUM(B3:B11) *B12)</f>
        <v>1100</v>
      </c>
      <c r="C13" s="4">
        <f t="shared" ref="C13:D13" si="0">(SUM(C3:C11) *C12)</f>
        <v>728</v>
      </c>
      <c r="D13" s="4">
        <f t="shared" si="0"/>
        <v>134</v>
      </c>
    </row>
    <row r="15" spans="1:4" x14ac:dyDescent="0.25">
      <c r="A15" s="13" t="s">
        <v>56</v>
      </c>
      <c r="B15" s="13"/>
      <c r="C15" s="13"/>
      <c r="D15" s="13"/>
    </row>
    <row r="16" spans="1:4" x14ac:dyDescent="0.25">
      <c r="A16" s="9" t="s">
        <v>41</v>
      </c>
      <c r="B16" s="12">
        <v>350</v>
      </c>
      <c r="C16" s="12">
        <v>100</v>
      </c>
      <c r="D16" s="12">
        <v>280</v>
      </c>
    </row>
    <row r="17" spans="1:4" x14ac:dyDescent="0.25">
      <c r="A17" s="9" t="s">
        <v>57</v>
      </c>
      <c r="B17" s="9">
        <v>2</v>
      </c>
      <c r="C17" s="9">
        <v>2</v>
      </c>
      <c r="D17" s="9">
        <v>2</v>
      </c>
    </row>
    <row r="18" spans="1:4" x14ac:dyDescent="0.25">
      <c r="A18" s="9" t="s">
        <v>36</v>
      </c>
      <c r="B18" s="17">
        <f>B16*B17</f>
        <v>700</v>
      </c>
      <c r="C18" s="17">
        <f t="shared" ref="C18:D18" si="1">C16*C17</f>
        <v>200</v>
      </c>
      <c r="D18" s="17">
        <f t="shared" si="1"/>
        <v>560</v>
      </c>
    </row>
    <row r="19" spans="1:4" x14ac:dyDescent="0.25">
      <c r="B19" s="7"/>
      <c r="C19" s="7"/>
      <c r="D19" s="7"/>
    </row>
    <row r="20" spans="1:4" x14ac:dyDescent="0.25">
      <c r="A20" s="13" t="s">
        <v>60</v>
      </c>
      <c r="B20" s="13"/>
      <c r="C20" s="13"/>
      <c r="D20" s="13"/>
    </row>
    <row r="21" spans="1:4" x14ac:dyDescent="0.25">
      <c r="A21" s="8" t="s">
        <v>43</v>
      </c>
      <c r="B21" s="18">
        <v>0</v>
      </c>
      <c r="C21" s="18">
        <v>50</v>
      </c>
      <c r="D21" s="18">
        <v>50</v>
      </c>
    </row>
    <row r="22" spans="1:4" x14ac:dyDescent="0.25">
      <c r="A22" s="8" t="s">
        <v>57</v>
      </c>
      <c r="B22" s="8">
        <v>2</v>
      </c>
      <c r="C22" s="8">
        <v>2</v>
      </c>
      <c r="D22" s="8">
        <v>2</v>
      </c>
    </row>
    <row r="23" spans="1:4" x14ac:dyDescent="0.25">
      <c r="A23" s="8" t="s">
        <v>61</v>
      </c>
      <c r="B23" s="8">
        <v>4</v>
      </c>
      <c r="C23" s="8">
        <v>4</v>
      </c>
      <c r="D23" s="8">
        <v>4</v>
      </c>
    </row>
    <row r="24" spans="1:4" x14ac:dyDescent="0.25">
      <c r="A24" s="8" t="s">
        <v>36</v>
      </c>
      <c r="B24" s="18">
        <f>B22*B21*B23</f>
        <v>0</v>
      </c>
      <c r="C24" s="18">
        <f t="shared" ref="C24" si="2">C22*C21*C23</f>
        <v>400</v>
      </c>
      <c r="D24" s="18">
        <f t="shared" ref="D24" si="3">D22*D21*D23</f>
        <v>400</v>
      </c>
    </row>
    <row r="26" spans="1:4" x14ac:dyDescent="0.25">
      <c r="A26" s="13" t="s">
        <v>55</v>
      </c>
      <c r="B26" s="13"/>
      <c r="C26" s="13"/>
      <c r="D26" s="13"/>
    </row>
    <row r="27" spans="1:4" x14ac:dyDescent="0.25">
      <c r="A27" s="10" t="s">
        <v>42</v>
      </c>
      <c r="B27" s="11">
        <v>0</v>
      </c>
      <c r="C27" s="11">
        <v>105</v>
      </c>
      <c r="D27" s="11">
        <v>120</v>
      </c>
    </row>
    <row r="28" spans="1:4" x14ac:dyDescent="0.25">
      <c r="A28" s="10" t="s">
        <v>44</v>
      </c>
      <c r="B28" s="11">
        <v>0</v>
      </c>
      <c r="C28" s="11">
        <v>0</v>
      </c>
      <c r="D28" s="11">
        <v>40</v>
      </c>
    </row>
    <row r="29" spans="1:4" x14ac:dyDescent="0.25">
      <c r="A29" s="10" t="s">
        <v>58</v>
      </c>
      <c r="B29" s="10">
        <v>4</v>
      </c>
      <c r="C29" s="10">
        <v>4</v>
      </c>
      <c r="D29" s="10">
        <v>4</v>
      </c>
    </row>
    <row r="30" spans="1:4" x14ac:dyDescent="0.25">
      <c r="A30" s="10" t="s">
        <v>59</v>
      </c>
      <c r="B30" s="14">
        <f>(SUM(B27:B28) * B29)</f>
        <v>0</v>
      </c>
      <c r="C30" s="14">
        <f>(SUM(C27:C28) * C29)</f>
        <v>420</v>
      </c>
      <c r="D30" s="14">
        <f>(SUM(D27:D28) * D29)</f>
        <v>640</v>
      </c>
    </row>
    <row r="31" spans="1:4" x14ac:dyDescent="0.25">
      <c r="A31" s="1"/>
      <c r="B31" s="1" t="s">
        <v>38</v>
      </c>
      <c r="C31" s="1" t="s">
        <v>39</v>
      </c>
      <c r="D31" s="1" t="s">
        <v>40</v>
      </c>
    </row>
    <row r="32" spans="1:4" x14ac:dyDescent="0.25">
      <c r="A32" s="1" t="s">
        <v>36</v>
      </c>
      <c r="B32" s="15">
        <f>SUM(B30,B18,B24,B13)</f>
        <v>1800</v>
      </c>
      <c r="C32" s="15">
        <f t="shared" ref="C32:D32" si="4">SUM(C30,C18,C24,C13)</f>
        <v>1748</v>
      </c>
      <c r="D32" s="15">
        <f t="shared" si="4"/>
        <v>1734</v>
      </c>
    </row>
    <row r="34" spans="1:4" s="19" customFormat="1" x14ac:dyDescent="0.25">
      <c r="A34" s="19" t="s">
        <v>20</v>
      </c>
    </row>
    <row r="35" spans="1:4" x14ac:dyDescent="0.25">
      <c r="A35" s="13" t="s">
        <v>37</v>
      </c>
      <c r="B35" s="13" t="s">
        <v>38</v>
      </c>
      <c r="C35" s="13" t="s">
        <v>39</v>
      </c>
      <c r="D35" s="13" t="s">
        <v>40</v>
      </c>
    </row>
    <row r="36" spans="1:4" x14ac:dyDescent="0.25">
      <c r="A36" s="8" t="s">
        <v>46</v>
      </c>
      <c r="B36" s="4">
        <v>0</v>
      </c>
      <c r="C36" s="4">
        <v>99</v>
      </c>
      <c r="D36" s="4">
        <v>0</v>
      </c>
    </row>
    <row r="37" spans="1:4" x14ac:dyDescent="0.25">
      <c r="A37" s="8" t="s">
        <v>47</v>
      </c>
      <c r="B37" s="4">
        <v>0</v>
      </c>
      <c r="C37" s="4">
        <v>95</v>
      </c>
      <c r="D37" s="4">
        <v>0</v>
      </c>
    </row>
    <row r="38" spans="1:4" x14ac:dyDescent="0.25">
      <c r="A38" s="8" t="s">
        <v>48</v>
      </c>
      <c r="B38" s="4">
        <v>0</v>
      </c>
      <c r="C38" s="4">
        <v>85</v>
      </c>
      <c r="D38" s="4">
        <v>0</v>
      </c>
    </row>
    <row r="39" spans="1:4" x14ac:dyDescent="0.25">
      <c r="A39" s="8" t="s">
        <v>49</v>
      </c>
      <c r="B39" s="4">
        <v>0</v>
      </c>
      <c r="C39" s="4">
        <v>85</v>
      </c>
      <c r="D39" s="4">
        <v>0</v>
      </c>
    </row>
    <row r="40" spans="1:4" x14ac:dyDescent="0.25">
      <c r="A40" s="8" t="s">
        <v>50</v>
      </c>
      <c r="B40" s="4">
        <v>0</v>
      </c>
      <c r="C40" s="4">
        <v>0</v>
      </c>
      <c r="D40" s="4">
        <v>18</v>
      </c>
    </row>
    <row r="41" spans="1:4" x14ac:dyDescent="0.25">
      <c r="A41" s="8" t="s">
        <v>51</v>
      </c>
      <c r="B41" s="4">
        <v>0</v>
      </c>
      <c r="C41" s="4">
        <v>0</v>
      </c>
      <c r="D41" s="4">
        <v>25</v>
      </c>
    </row>
    <row r="42" spans="1:4" x14ac:dyDescent="0.25">
      <c r="A42" s="8" t="s">
        <v>52</v>
      </c>
      <c r="B42" s="4">
        <v>0</v>
      </c>
      <c r="C42" s="4">
        <v>0</v>
      </c>
      <c r="D42" s="4">
        <v>15</v>
      </c>
    </row>
    <row r="43" spans="1:4" x14ac:dyDescent="0.25">
      <c r="A43" s="8" t="s">
        <v>53</v>
      </c>
      <c r="B43" s="4">
        <v>0</v>
      </c>
      <c r="C43" s="4">
        <v>0</v>
      </c>
      <c r="D43" s="4">
        <v>9</v>
      </c>
    </row>
    <row r="44" spans="1:4" x14ac:dyDescent="0.25">
      <c r="A44" s="8" t="s">
        <v>54</v>
      </c>
      <c r="B44" s="4">
        <v>550</v>
      </c>
      <c r="C44" s="4">
        <v>0</v>
      </c>
      <c r="D44" s="4">
        <v>0</v>
      </c>
    </row>
    <row r="45" spans="1:4" x14ac:dyDescent="0.25">
      <c r="A45" s="8" t="s">
        <v>57</v>
      </c>
      <c r="B45" s="16">
        <v>4</v>
      </c>
      <c r="C45" s="16">
        <v>4</v>
      </c>
      <c r="D45" s="16">
        <v>4</v>
      </c>
    </row>
    <row r="46" spans="1:4" x14ac:dyDescent="0.25">
      <c r="A46" s="8" t="s">
        <v>36</v>
      </c>
      <c r="B46" s="4">
        <f>(SUM(B36:B44) *B45)</f>
        <v>2200</v>
      </c>
      <c r="C46" s="4">
        <f t="shared" ref="C46" si="5">(SUM(C36:C44) *C45)</f>
        <v>1456</v>
      </c>
      <c r="D46" s="4">
        <f t="shared" ref="D46" si="6">(SUM(D36:D44) *D45)</f>
        <v>268</v>
      </c>
    </row>
    <row r="48" spans="1:4" x14ac:dyDescent="0.25">
      <c r="A48" s="13" t="s">
        <v>56</v>
      </c>
      <c r="B48" s="13"/>
      <c r="C48" s="13"/>
      <c r="D48" s="13"/>
    </row>
    <row r="49" spans="1:4" x14ac:dyDescent="0.25">
      <c r="A49" s="9" t="s">
        <v>41</v>
      </c>
      <c r="B49" s="12">
        <v>350</v>
      </c>
      <c r="C49" s="12">
        <v>100</v>
      </c>
      <c r="D49" s="12">
        <v>280</v>
      </c>
    </row>
    <row r="50" spans="1:4" x14ac:dyDescent="0.25">
      <c r="A50" s="9" t="s">
        <v>57</v>
      </c>
      <c r="B50" s="9">
        <v>4</v>
      </c>
      <c r="C50" s="9">
        <v>4</v>
      </c>
      <c r="D50" s="9">
        <v>4</v>
      </c>
    </row>
    <row r="51" spans="1:4" x14ac:dyDescent="0.25">
      <c r="A51" s="9" t="s">
        <v>36</v>
      </c>
      <c r="B51" s="17">
        <f>B49*B50</f>
        <v>1400</v>
      </c>
      <c r="C51" s="17">
        <f t="shared" ref="C51" si="7">C49*C50</f>
        <v>400</v>
      </c>
      <c r="D51" s="17">
        <f t="shared" ref="D51" si="8">D49*D50</f>
        <v>1120</v>
      </c>
    </row>
    <row r="53" spans="1:4" x14ac:dyDescent="0.25">
      <c r="A53" s="13" t="s">
        <v>60</v>
      </c>
      <c r="B53" s="13"/>
      <c r="C53" s="13"/>
      <c r="D53" s="13"/>
    </row>
    <row r="54" spans="1:4" x14ac:dyDescent="0.25">
      <c r="A54" s="8" t="s">
        <v>43</v>
      </c>
      <c r="B54" s="18">
        <v>0</v>
      </c>
      <c r="C54" s="18">
        <v>50</v>
      </c>
      <c r="D54" s="18">
        <v>50</v>
      </c>
    </row>
    <row r="55" spans="1:4" x14ac:dyDescent="0.25">
      <c r="A55" s="8" t="s">
        <v>57</v>
      </c>
      <c r="B55" s="8">
        <v>4</v>
      </c>
      <c r="C55" s="8">
        <v>4</v>
      </c>
      <c r="D55" s="8">
        <v>4</v>
      </c>
    </row>
    <row r="56" spans="1:4" x14ac:dyDescent="0.25">
      <c r="A56" s="8" t="s">
        <v>61</v>
      </c>
      <c r="B56" s="8">
        <v>4</v>
      </c>
      <c r="C56" s="8">
        <v>4</v>
      </c>
      <c r="D56" s="8">
        <v>4</v>
      </c>
    </row>
    <row r="57" spans="1:4" x14ac:dyDescent="0.25">
      <c r="A57" s="8" t="s">
        <v>36</v>
      </c>
      <c r="B57" s="18">
        <f>B55*B54*B56</f>
        <v>0</v>
      </c>
      <c r="C57" s="18">
        <f t="shared" ref="C57:D57" si="9">C55*C54*C56</f>
        <v>800</v>
      </c>
      <c r="D57" s="18">
        <f t="shared" si="9"/>
        <v>800</v>
      </c>
    </row>
    <row r="59" spans="1:4" x14ac:dyDescent="0.25">
      <c r="A59" s="13" t="s">
        <v>55</v>
      </c>
      <c r="B59" s="13"/>
      <c r="C59" s="13"/>
      <c r="D59" s="13"/>
    </row>
    <row r="60" spans="1:4" x14ac:dyDescent="0.25">
      <c r="A60" s="10" t="s">
        <v>42</v>
      </c>
      <c r="B60" s="11">
        <v>0</v>
      </c>
      <c r="C60" s="11">
        <v>105</v>
      </c>
      <c r="D60" s="11">
        <v>120</v>
      </c>
    </row>
    <row r="61" spans="1:4" x14ac:dyDescent="0.25">
      <c r="A61" s="10" t="s">
        <v>44</v>
      </c>
      <c r="B61" s="11">
        <v>0</v>
      </c>
      <c r="C61" s="11">
        <v>0</v>
      </c>
      <c r="D61" s="11">
        <v>40</v>
      </c>
    </row>
    <row r="62" spans="1:4" x14ac:dyDescent="0.25">
      <c r="A62" s="10" t="s">
        <v>58</v>
      </c>
      <c r="B62" s="10">
        <v>4</v>
      </c>
      <c r="C62" s="10">
        <v>4</v>
      </c>
      <c r="D62" s="10">
        <v>4</v>
      </c>
    </row>
    <row r="63" spans="1:4" x14ac:dyDescent="0.25">
      <c r="A63" s="10" t="s">
        <v>59</v>
      </c>
      <c r="B63" s="14">
        <f>(SUM(B60:B61) * B62)</f>
        <v>0</v>
      </c>
      <c r="C63" s="14">
        <f>(SUM(C60:C61) * C62)</f>
        <v>420</v>
      </c>
      <c r="D63" s="14">
        <f>(SUM(D60:D61) * D62)</f>
        <v>640</v>
      </c>
    </row>
    <row r="64" spans="1:4" x14ac:dyDescent="0.25">
      <c r="A64" s="1"/>
      <c r="B64" s="1" t="s">
        <v>38</v>
      </c>
      <c r="C64" s="1" t="s">
        <v>39</v>
      </c>
      <c r="D64" s="1" t="s">
        <v>40</v>
      </c>
    </row>
    <row r="65" spans="1:4" x14ac:dyDescent="0.25">
      <c r="A65" s="1" t="s">
        <v>36</v>
      </c>
      <c r="B65" s="15">
        <f>SUM(B63,B57,B51,B46)</f>
        <v>3600</v>
      </c>
      <c r="C65" s="15">
        <f>SUM(C63,C57,C51,C46)</f>
        <v>3076</v>
      </c>
      <c r="D65" s="15">
        <f>SUM(D63,D57,D51,D46)</f>
        <v>2828</v>
      </c>
    </row>
  </sheetData>
  <conditionalFormatting sqref="B32:D3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5">
      <iconSet iconSet="3Symbols" reverse="1">
        <cfvo type="percent" val="0"/>
        <cfvo type="percent" val="33"/>
        <cfvo type="percent" val="67"/>
      </iconSet>
    </cfRule>
  </conditionalFormatting>
  <conditionalFormatting sqref="B65:D65">
    <cfRule type="iconSet" priority="1">
      <iconSet iconSet="3Symbols" reverse="1">
        <cfvo type="percent" val="0"/>
        <cfvo type="percent" val="33"/>
        <cfvo type="percent" val="67"/>
      </iconSet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BDDD1-C73D-4B8F-B476-C89108ABFAA7}">
  <dimension ref="A1:D41"/>
  <sheetViews>
    <sheetView topLeftCell="A22" workbookViewId="0">
      <selection activeCell="F39" sqref="F39"/>
    </sheetView>
  </sheetViews>
  <sheetFormatPr defaultRowHeight="15" x14ac:dyDescent="0.25"/>
  <cols>
    <col min="1" max="1" width="20" bestFit="1" customWidth="1"/>
    <col min="2" max="2" width="13.85546875" bestFit="1" customWidth="1"/>
    <col min="3" max="3" width="14.140625" bestFit="1" customWidth="1"/>
    <col min="4" max="4" width="12.85546875" bestFit="1" customWidth="1"/>
  </cols>
  <sheetData>
    <row r="1" spans="1:4" s="19" customFormat="1" x14ac:dyDescent="0.25">
      <c r="A1" s="19" t="s">
        <v>19</v>
      </c>
    </row>
    <row r="2" spans="1:4" x14ac:dyDescent="0.25">
      <c r="A2" s="21"/>
      <c r="B2" s="21" t="s">
        <v>62</v>
      </c>
      <c r="C2" s="21" t="s">
        <v>63</v>
      </c>
      <c r="D2" s="21" t="s">
        <v>64</v>
      </c>
    </row>
    <row r="3" spans="1:4" x14ac:dyDescent="0.25">
      <c r="A3" s="21" t="s">
        <v>65</v>
      </c>
      <c r="B3" s="22">
        <v>29</v>
      </c>
      <c r="C3" s="22">
        <v>149</v>
      </c>
      <c r="D3" s="22">
        <v>549</v>
      </c>
    </row>
    <row r="4" spans="1:4" x14ac:dyDescent="0.25">
      <c r="B4" s="20"/>
      <c r="C4" s="20"/>
      <c r="D4" s="20"/>
    </row>
    <row r="5" spans="1:4" x14ac:dyDescent="0.25">
      <c r="A5" s="9" t="s">
        <v>66</v>
      </c>
      <c r="B5" s="23">
        <v>40</v>
      </c>
      <c r="C5" s="23">
        <v>90</v>
      </c>
      <c r="D5" s="23">
        <v>370</v>
      </c>
    </row>
    <row r="6" spans="1:4" x14ac:dyDescent="0.25">
      <c r="A6" s="9" t="s">
        <v>67</v>
      </c>
      <c r="B6" s="24">
        <v>200</v>
      </c>
      <c r="C6" s="24">
        <v>1000</v>
      </c>
      <c r="D6" s="24">
        <v>11000</v>
      </c>
    </row>
    <row r="7" spans="1:4" x14ac:dyDescent="0.25">
      <c r="A7" s="9" t="s">
        <v>68</v>
      </c>
      <c r="B7" s="23">
        <f>B5/B6</f>
        <v>0.2</v>
      </c>
      <c r="C7" s="23">
        <f t="shared" ref="C7:D7" si="0">C5/C6</f>
        <v>0.09</v>
      </c>
      <c r="D7" s="23">
        <f t="shared" si="0"/>
        <v>3.3636363636363638E-2</v>
      </c>
    </row>
    <row r="9" spans="1:4" x14ac:dyDescent="0.25">
      <c r="A9" s="10" t="s">
        <v>69</v>
      </c>
      <c r="B9" s="10">
        <v>15</v>
      </c>
    </row>
    <row r="10" spans="1:4" x14ac:dyDescent="0.25">
      <c r="A10" s="10" t="s">
        <v>70</v>
      </c>
      <c r="B10" s="25">
        <v>5</v>
      </c>
    </row>
    <row r="11" spans="1:4" x14ac:dyDescent="0.25">
      <c r="A11" s="10" t="s">
        <v>71</v>
      </c>
      <c r="B11" s="25">
        <v>52</v>
      </c>
    </row>
    <row r="12" spans="1:4" x14ac:dyDescent="0.25">
      <c r="A12" s="10" t="s">
        <v>72</v>
      </c>
      <c r="B12" s="10">
        <f>B11*B10*B9</f>
        <v>3900</v>
      </c>
    </row>
    <row r="14" spans="1:4" x14ac:dyDescent="0.25">
      <c r="A14" s="26" t="s">
        <v>73</v>
      </c>
      <c r="B14" s="26">
        <f>$B$12</f>
        <v>3900</v>
      </c>
      <c r="C14" s="26">
        <f t="shared" ref="C14:D14" si="1">$B$12</f>
        <v>3900</v>
      </c>
      <c r="D14" s="26">
        <f t="shared" si="1"/>
        <v>3900</v>
      </c>
    </row>
    <row r="15" spans="1:4" x14ac:dyDescent="0.25">
      <c r="A15" s="26" t="s">
        <v>74</v>
      </c>
      <c r="B15" s="27">
        <f>B14*B7</f>
        <v>780</v>
      </c>
      <c r="C15" s="27">
        <f t="shared" ref="C15:D15" si="2">C14*C7</f>
        <v>351</v>
      </c>
      <c r="D15" s="27">
        <f t="shared" si="2"/>
        <v>131.18181818181819</v>
      </c>
    </row>
    <row r="16" spans="1:4" x14ac:dyDescent="0.25">
      <c r="A16" s="26" t="s">
        <v>75</v>
      </c>
      <c r="B16" s="26">
        <v>2</v>
      </c>
      <c r="C16" s="26">
        <v>2</v>
      </c>
      <c r="D16" s="26">
        <v>2</v>
      </c>
    </row>
    <row r="18" spans="1:4" x14ac:dyDescent="0.25">
      <c r="A18" s="28" t="s">
        <v>76</v>
      </c>
      <c r="B18" s="28"/>
      <c r="C18" s="28"/>
      <c r="D18" s="28"/>
    </row>
    <row r="19" spans="1:4" x14ac:dyDescent="0.25">
      <c r="A19" s="1"/>
      <c r="B19" s="1" t="s">
        <v>62</v>
      </c>
      <c r="C19" s="1" t="s">
        <v>63</v>
      </c>
      <c r="D19" s="1" t="s">
        <v>64</v>
      </c>
    </row>
    <row r="20" spans="1:4" x14ac:dyDescent="0.25">
      <c r="A20" s="1" t="s">
        <v>36</v>
      </c>
      <c r="B20" s="29">
        <f>SUM(B3,B16*B15)</f>
        <v>1589</v>
      </c>
      <c r="C20" s="29">
        <f t="shared" ref="C20:D20" si="3">SUM(C3,C16*C15)</f>
        <v>851</v>
      </c>
      <c r="D20" s="29">
        <f t="shared" si="3"/>
        <v>811.36363636363637</v>
      </c>
    </row>
    <row r="22" spans="1:4" s="19" customFormat="1" x14ac:dyDescent="0.25">
      <c r="A22" s="19" t="s">
        <v>20</v>
      </c>
    </row>
    <row r="23" spans="1:4" x14ac:dyDescent="0.25">
      <c r="A23" s="21"/>
      <c r="B23" s="21" t="s">
        <v>62</v>
      </c>
      <c r="C23" s="21" t="s">
        <v>63</v>
      </c>
      <c r="D23" s="21" t="s">
        <v>64</v>
      </c>
    </row>
    <row r="24" spans="1:4" x14ac:dyDescent="0.25">
      <c r="A24" s="21" t="s">
        <v>65</v>
      </c>
      <c r="B24" s="22">
        <v>29</v>
      </c>
      <c r="C24" s="22">
        <v>149</v>
      </c>
      <c r="D24" s="22">
        <v>549</v>
      </c>
    </row>
    <row r="25" spans="1:4" x14ac:dyDescent="0.25">
      <c r="B25" s="20"/>
      <c r="C25" s="20"/>
      <c r="D25" s="20"/>
    </row>
    <row r="26" spans="1:4" x14ac:dyDescent="0.25">
      <c r="A26" s="9" t="s">
        <v>66</v>
      </c>
      <c r="B26" s="23">
        <v>40</v>
      </c>
      <c r="C26" s="23">
        <v>90</v>
      </c>
      <c r="D26" s="23">
        <v>370</v>
      </c>
    </row>
    <row r="27" spans="1:4" x14ac:dyDescent="0.25">
      <c r="A27" s="9" t="s">
        <v>67</v>
      </c>
      <c r="B27" s="24">
        <v>200</v>
      </c>
      <c r="C27" s="24">
        <v>1000</v>
      </c>
      <c r="D27" s="24">
        <v>11000</v>
      </c>
    </row>
    <row r="28" spans="1:4" x14ac:dyDescent="0.25">
      <c r="A28" s="9" t="s">
        <v>68</v>
      </c>
      <c r="B28" s="23">
        <f>B26/B27</f>
        <v>0.2</v>
      </c>
      <c r="C28" s="23">
        <f t="shared" ref="C28" si="4">C26/C27</f>
        <v>0.09</v>
      </c>
      <c r="D28" s="23">
        <f t="shared" ref="D28" si="5">D26/D27</f>
        <v>3.3636363636363638E-2</v>
      </c>
    </row>
    <row r="30" spans="1:4" x14ac:dyDescent="0.25">
      <c r="A30" s="10" t="s">
        <v>69</v>
      </c>
      <c r="B30" s="10">
        <v>500</v>
      </c>
    </row>
    <row r="31" spans="1:4" x14ac:dyDescent="0.25">
      <c r="A31" s="10" t="s">
        <v>70</v>
      </c>
      <c r="B31" s="25">
        <v>5</v>
      </c>
    </row>
    <row r="32" spans="1:4" x14ac:dyDescent="0.25">
      <c r="A32" s="10" t="s">
        <v>71</v>
      </c>
      <c r="B32" s="25">
        <v>52</v>
      </c>
    </row>
    <row r="33" spans="1:4" x14ac:dyDescent="0.25">
      <c r="A33" s="10" t="s">
        <v>72</v>
      </c>
      <c r="B33" s="10">
        <f>B32*B31*B30</f>
        <v>130000</v>
      </c>
    </row>
    <row r="35" spans="1:4" x14ac:dyDescent="0.25">
      <c r="A35" s="26" t="s">
        <v>73</v>
      </c>
      <c r="B35" s="26">
        <f>$B$33</f>
        <v>130000</v>
      </c>
      <c r="C35" s="26">
        <f t="shared" ref="C35:D35" si="6">$B$33</f>
        <v>130000</v>
      </c>
      <c r="D35" s="26">
        <f t="shared" si="6"/>
        <v>130000</v>
      </c>
    </row>
    <row r="36" spans="1:4" x14ac:dyDescent="0.25">
      <c r="A36" s="26" t="s">
        <v>74</v>
      </c>
      <c r="B36" s="27">
        <f>B35*B28</f>
        <v>26000</v>
      </c>
      <c r="C36" s="27">
        <f t="shared" ref="C36" si="7">C35*C28</f>
        <v>11700</v>
      </c>
      <c r="D36" s="27">
        <f t="shared" ref="D36" si="8">D35*D28</f>
        <v>4372.727272727273</v>
      </c>
    </row>
    <row r="37" spans="1:4" x14ac:dyDescent="0.25">
      <c r="A37" s="26" t="s">
        <v>75</v>
      </c>
      <c r="B37" s="26">
        <v>2</v>
      </c>
      <c r="C37" s="26">
        <v>2</v>
      </c>
      <c r="D37" s="26">
        <v>2</v>
      </c>
    </row>
    <row r="39" spans="1:4" x14ac:dyDescent="0.25">
      <c r="A39" s="28" t="s">
        <v>76</v>
      </c>
      <c r="B39" s="28"/>
      <c r="C39" s="28"/>
      <c r="D39" s="28"/>
    </row>
    <row r="40" spans="1:4" x14ac:dyDescent="0.25">
      <c r="A40" s="1"/>
      <c r="B40" s="1" t="s">
        <v>62</v>
      </c>
      <c r="C40" s="1" t="s">
        <v>63</v>
      </c>
      <c r="D40" s="1" t="s">
        <v>64</v>
      </c>
    </row>
    <row r="41" spans="1:4" x14ac:dyDescent="0.25">
      <c r="A41" s="1" t="s">
        <v>36</v>
      </c>
      <c r="B41" s="29">
        <f>SUM(B24,B37*B36)</f>
        <v>52029</v>
      </c>
      <c r="C41" s="29">
        <f t="shared" ref="C41:D41" si="9">SUM(C24,C37*C36)</f>
        <v>23549</v>
      </c>
      <c r="D41" s="29">
        <f t="shared" si="9"/>
        <v>9294.454545454546</v>
      </c>
    </row>
  </sheetData>
  <conditionalFormatting sqref="B20:D20">
    <cfRule type="iconSet" priority="4">
      <iconSet iconSet="3Symbols" reverse="1">
        <cfvo type="percent" val="0"/>
        <cfvo type="percent" val="33"/>
        <cfvo type="percent" val="67"/>
      </iconSet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1:D41">
    <cfRule type="iconSet" priority="1">
      <iconSet iconSet="3Symbols" reverse="1">
        <cfvo type="percent" val="0"/>
        <cfvo type="percent" val="33"/>
        <cfvo type="percent" val="67"/>
      </iconSet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52E1B-1879-4CF0-996C-9C35CD60B3B3}">
  <dimension ref="A1:D35"/>
  <sheetViews>
    <sheetView topLeftCell="A16" workbookViewId="0">
      <selection activeCell="O14" sqref="O14"/>
    </sheetView>
  </sheetViews>
  <sheetFormatPr defaultRowHeight="15" x14ac:dyDescent="0.25"/>
  <cols>
    <col min="1" max="1" width="24.5703125" bestFit="1" customWidth="1"/>
    <col min="2" max="4" width="12.85546875" bestFit="1" customWidth="1"/>
  </cols>
  <sheetData>
    <row r="1" spans="1:4" s="19" customFormat="1" x14ac:dyDescent="0.25">
      <c r="A1" s="19" t="s">
        <v>19</v>
      </c>
    </row>
    <row r="2" spans="1:4" x14ac:dyDescent="0.25">
      <c r="A2" s="13"/>
      <c r="B2" s="13" t="s">
        <v>78</v>
      </c>
      <c r="C2" s="13" t="s">
        <v>79</v>
      </c>
      <c r="D2" s="13" t="s">
        <v>80</v>
      </c>
    </row>
    <row r="3" spans="1:4" x14ac:dyDescent="0.25">
      <c r="A3" s="13" t="s">
        <v>77</v>
      </c>
      <c r="B3" s="3">
        <v>19</v>
      </c>
      <c r="C3" s="3">
        <v>35</v>
      </c>
      <c r="D3" s="3">
        <v>55</v>
      </c>
    </row>
    <row r="4" spans="1:4" x14ac:dyDescent="0.25">
      <c r="A4" s="13" t="s">
        <v>81</v>
      </c>
      <c r="B4" s="13">
        <v>1</v>
      </c>
      <c r="C4" s="13">
        <v>1</v>
      </c>
      <c r="D4" s="13">
        <v>1</v>
      </c>
    </row>
    <row r="5" spans="1:4" x14ac:dyDescent="0.25">
      <c r="A5" s="13" t="s">
        <v>83</v>
      </c>
      <c r="B5" s="3">
        <v>20</v>
      </c>
      <c r="C5" s="3">
        <v>15</v>
      </c>
      <c r="D5" s="3">
        <v>5</v>
      </c>
    </row>
    <row r="6" spans="1:4" x14ac:dyDescent="0.25">
      <c r="A6" s="13" t="s">
        <v>90</v>
      </c>
      <c r="B6" s="13">
        <v>2</v>
      </c>
      <c r="C6" s="13">
        <v>2</v>
      </c>
      <c r="D6" s="13">
        <v>2</v>
      </c>
    </row>
    <row r="7" spans="1:4" x14ac:dyDescent="0.25">
      <c r="A7" s="13" t="s">
        <v>85</v>
      </c>
      <c r="B7" s="30">
        <v>24</v>
      </c>
      <c r="C7" s="30">
        <v>24</v>
      </c>
      <c r="D7" s="30">
        <v>24</v>
      </c>
    </row>
    <row r="8" spans="1:4" x14ac:dyDescent="0.25">
      <c r="A8" s="13" t="s">
        <v>36</v>
      </c>
      <c r="B8" s="3">
        <f t="shared" ref="B8:C8" si="0">SUM(B3,B5*B6)*B7</f>
        <v>1416</v>
      </c>
      <c r="C8" s="3">
        <f t="shared" si="0"/>
        <v>1560</v>
      </c>
      <c r="D8" s="3">
        <f>SUM(D3,D5*D6)*D7</f>
        <v>1560</v>
      </c>
    </row>
    <row r="10" spans="1:4" x14ac:dyDescent="0.25">
      <c r="A10" s="9" t="s">
        <v>87</v>
      </c>
      <c r="B10" s="12">
        <v>0</v>
      </c>
      <c r="C10" s="12">
        <v>500</v>
      </c>
      <c r="D10" s="12">
        <v>0</v>
      </c>
    </row>
    <row r="11" spans="1:4" x14ac:dyDescent="0.25">
      <c r="A11" s="9" t="s">
        <v>82</v>
      </c>
      <c r="B11" s="12">
        <v>30</v>
      </c>
      <c r="C11" s="12">
        <v>0</v>
      </c>
      <c r="D11" s="12">
        <v>0</v>
      </c>
    </row>
    <row r="12" spans="1:4" x14ac:dyDescent="0.25">
      <c r="A12" s="9" t="s">
        <v>86</v>
      </c>
      <c r="B12" s="9">
        <v>24</v>
      </c>
      <c r="C12" s="9">
        <v>0</v>
      </c>
      <c r="D12" s="9">
        <v>0</v>
      </c>
    </row>
    <row r="13" spans="1:4" x14ac:dyDescent="0.25">
      <c r="A13" s="9" t="s">
        <v>36</v>
      </c>
      <c r="B13" s="12">
        <f>SUM(B12*B11, B10)</f>
        <v>720</v>
      </c>
      <c r="C13" s="12">
        <f t="shared" ref="C13:D13" si="1">SUM(C12*C11, C10)</f>
        <v>500</v>
      </c>
      <c r="D13" s="12">
        <f t="shared" si="1"/>
        <v>0</v>
      </c>
    </row>
    <row r="14" spans="1:4" s="31" customFormat="1" x14ac:dyDescent="0.25">
      <c r="B14" s="32"/>
      <c r="C14" s="32"/>
      <c r="D14" s="32"/>
    </row>
    <row r="15" spans="1:4" s="31" customFormat="1" x14ac:dyDescent="0.25">
      <c r="A15" s="13" t="s">
        <v>88</v>
      </c>
      <c r="B15" s="13"/>
      <c r="C15" s="13"/>
      <c r="D15" s="13"/>
    </row>
    <row r="16" spans="1:4" x14ac:dyDescent="0.25">
      <c r="A16" s="1" t="s">
        <v>84</v>
      </c>
      <c r="B16" s="1" t="s">
        <v>78</v>
      </c>
      <c r="C16" s="1" t="s">
        <v>79</v>
      </c>
      <c r="D16" s="1" t="s">
        <v>80</v>
      </c>
    </row>
    <row r="17" spans="1:4" x14ac:dyDescent="0.25">
      <c r="A17" s="1" t="s">
        <v>36</v>
      </c>
      <c r="B17" s="15">
        <f>SUM(B13,B8)</f>
        <v>2136</v>
      </c>
      <c r="C17" s="15">
        <f t="shared" ref="C17:D17" si="2">SUM(C13,C8)</f>
        <v>2060</v>
      </c>
      <c r="D17" s="15">
        <f t="shared" si="2"/>
        <v>1560</v>
      </c>
    </row>
    <row r="19" spans="1:4" s="33" customFormat="1" x14ac:dyDescent="0.25">
      <c r="A19" s="34" t="s">
        <v>20</v>
      </c>
    </row>
    <row r="20" spans="1:4" x14ac:dyDescent="0.25">
      <c r="A20" s="13"/>
      <c r="B20" s="13" t="s">
        <v>78</v>
      </c>
      <c r="C20" s="13" t="s">
        <v>79</v>
      </c>
      <c r="D20" s="13" t="s">
        <v>80</v>
      </c>
    </row>
    <row r="21" spans="1:4" x14ac:dyDescent="0.25">
      <c r="A21" s="13" t="s">
        <v>77</v>
      </c>
      <c r="B21" s="3">
        <v>19</v>
      </c>
      <c r="C21" s="3">
        <v>35</v>
      </c>
      <c r="D21" s="3">
        <v>55</v>
      </c>
    </row>
    <row r="22" spans="1:4" x14ac:dyDescent="0.25">
      <c r="A22" s="13" t="s">
        <v>81</v>
      </c>
      <c r="B22" s="13">
        <v>1</v>
      </c>
      <c r="C22" s="13">
        <v>1</v>
      </c>
      <c r="D22" s="13">
        <v>1</v>
      </c>
    </row>
    <row r="23" spans="1:4" x14ac:dyDescent="0.25">
      <c r="A23" s="13" t="s">
        <v>83</v>
      </c>
      <c r="B23" s="3">
        <v>20</v>
      </c>
      <c r="C23" s="3">
        <v>15</v>
      </c>
      <c r="D23" s="3">
        <v>5</v>
      </c>
    </row>
    <row r="24" spans="1:4" x14ac:dyDescent="0.25">
      <c r="A24" s="13" t="s">
        <v>90</v>
      </c>
      <c r="B24" s="13">
        <v>0</v>
      </c>
      <c r="C24" s="13">
        <v>0</v>
      </c>
      <c r="D24" s="13">
        <v>0</v>
      </c>
    </row>
    <row r="25" spans="1:4" x14ac:dyDescent="0.25">
      <c r="A25" s="13" t="s">
        <v>85</v>
      </c>
      <c r="B25" s="30">
        <v>24</v>
      </c>
      <c r="C25" s="30">
        <v>24</v>
      </c>
      <c r="D25" s="30">
        <v>24</v>
      </c>
    </row>
    <row r="26" spans="1:4" x14ac:dyDescent="0.25">
      <c r="A26" s="13" t="s">
        <v>36</v>
      </c>
      <c r="B26" s="3">
        <f t="shared" ref="B26" si="3">SUM(B21,B23*B24)*B25</f>
        <v>456</v>
      </c>
      <c r="C26" s="3">
        <f t="shared" ref="C26" si="4">SUM(C21,C23*C24)*C25</f>
        <v>840</v>
      </c>
      <c r="D26" s="3">
        <f>SUM(D21,D23*D24)*D25</f>
        <v>1320</v>
      </c>
    </row>
    <row r="28" spans="1:4" x14ac:dyDescent="0.25">
      <c r="A28" s="9" t="s">
        <v>87</v>
      </c>
      <c r="B28" s="12">
        <v>0</v>
      </c>
      <c r="C28" s="12">
        <v>500</v>
      </c>
      <c r="D28" s="12">
        <v>0</v>
      </c>
    </row>
    <row r="29" spans="1:4" x14ac:dyDescent="0.25">
      <c r="A29" s="9" t="s">
        <v>82</v>
      </c>
      <c r="B29" s="12">
        <v>30</v>
      </c>
      <c r="C29" s="12">
        <v>0</v>
      </c>
      <c r="D29" s="12">
        <v>0</v>
      </c>
    </row>
    <row r="30" spans="1:4" x14ac:dyDescent="0.25">
      <c r="A30" s="9" t="s">
        <v>86</v>
      </c>
      <c r="B30" s="9">
        <v>24</v>
      </c>
      <c r="C30" s="9">
        <v>0</v>
      </c>
      <c r="D30" s="9">
        <v>0</v>
      </c>
    </row>
    <row r="31" spans="1:4" x14ac:dyDescent="0.25">
      <c r="A31" s="9" t="s">
        <v>36</v>
      </c>
      <c r="B31" s="12">
        <f>SUM(B30*B29, B28)</f>
        <v>720</v>
      </c>
      <c r="C31" s="12">
        <f t="shared" ref="C31" si="5">SUM(C30*C29, C28)</f>
        <v>500</v>
      </c>
      <c r="D31" s="12">
        <f t="shared" ref="D31" si="6">SUM(D30*D29, D28)</f>
        <v>0</v>
      </c>
    </row>
    <row r="32" spans="1:4" x14ac:dyDescent="0.25">
      <c r="A32" s="31"/>
      <c r="B32" s="32"/>
      <c r="C32" s="32"/>
      <c r="D32" s="32"/>
    </row>
    <row r="33" spans="1:4" x14ac:dyDescent="0.25">
      <c r="A33" s="13" t="s">
        <v>88</v>
      </c>
      <c r="B33" s="13"/>
      <c r="C33" s="13"/>
      <c r="D33" s="13"/>
    </row>
    <row r="34" spans="1:4" x14ac:dyDescent="0.25">
      <c r="A34" s="1" t="s">
        <v>89</v>
      </c>
      <c r="B34" s="1" t="s">
        <v>78</v>
      </c>
      <c r="C34" s="1" t="s">
        <v>79</v>
      </c>
      <c r="D34" s="1" t="s">
        <v>80</v>
      </c>
    </row>
    <row r="35" spans="1:4" x14ac:dyDescent="0.25">
      <c r="A35" s="1" t="s">
        <v>36</v>
      </c>
      <c r="B35" s="15">
        <f>SUM(B31,B26)</f>
        <v>1176</v>
      </c>
      <c r="C35" s="15">
        <f t="shared" ref="C35:D35" si="7">SUM(C31,C26)</f>
        <v>1340</v>
      </c>
      <c r="D35" s="15">
        <f t="shared" si="7"/>
        <v>1320</v>
      </c>
    </row>
  </sheetData>
  <conditionalFormatting sqref="B17:D17">
    <cfRule type="iconSet" priority="2">
      <iconSet iconSet="3Symbols" reverse="1">
        <cfvo type="percent" val="0"/>
        <cfvo type="percent" val="33"/>
        <cfvo type="percent" val="67"/>
      </iconSet>
    </cfRule>
    <cfRule type="iconSet" priority="7">
      <iconSet iconSet="3Symbols">
        <cfvo type="percent" val="0"/>
        <cfvo type="percent" val="33"/>
        <cfvo type="percent" val="67"/>
      </iconSet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5:D35">
    <cfRule type="iconSet" priority="1">
      <iconSet iconSet="3Symbols" reverse="1">
        <cfvo type="percent" val="0"/>
        <cfvo type="percent" val="33"/>
        <cfvo type="percent" val="67"/>
      </iconSet>
    </cfRule>
    <cfRule type="iconSet" priority="4">
      <iconSet iconSet="3Symbols">
        <cfvo type="percent" val="0"/>
        <cfvo type="percent" val="33"/>
        <cfvo type="percent" val="67"/>
      </iconSet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D0A0D-A694-4047-BDF8-609B2275C7F4}">
  <dimension ref="A1:E63"/>
  <sheetViews>
    <sheetView tabSelected="1" topLeftCell="A31" zoomScale="65" zoomScaleNormal="65" workbookViewId="0">
      <selection activeCell="T45" sqref="T45"/>
    </sheetView>
  </sheetViews>
  <sheetFormatPr defaultRowHeight="15" x14ac:dyDescent="0.25"/>
  <cols>
    <col min="1" max="1" width="21.7109375" bestFit="1" customWidth="1"/>
    <col min="2" max="2" width="16.5703125" bestFit="1" customWidth="1"/>
    <col min="3" max="3" width="18" bestFit="1" customWidth="1"/>
    <col min="4" max="4" width="19.7109375" bestFit="1" customWidth="1"/>
  </cols>
  <sheetData>
    <row r="1" spans="1:5" s="19" customFormat="1" x14ac:dyDescent="0.25">
      <c r="A1" s="19" t="s">
        <v>19</v>
      </c>
    </row>
    <row r="2" spans="1:5" x14ac:dyDescent="0.25">
      <c r="A2" s="13" t="s">
        <v>108</v>
      </c>
      <c r="B2" s="13"/>
      <c r="C2" s="13"/>
      <c r="D2" s="13"/>
    </row>
    <row r="3" spans="1:5" x14ac:dyDescent="0.25">
      <c r="A3" s="21"/>
      <c r="B3" s="21" t="s">
        <v>92</v>
      </c>
      <c r="C3" s="21" t="s">
        <v>93</v>
      </c>
      <c r="D3" s="21" t="s">
        <v>94</v>
      </c>
    </row>
    <row r="4" spans="1:5" x14ac:dyDescent="0.25">
      <c r="A4" s="21" t="s">
        <v>109</v>
      </c>
      <c r="B4" s="35">
        <v>14500</v>
      </c>
      <c r="C4" s="35">
        <v>31000</v>
      </c>
      <c r="D4" s="35">
        <v>72000</v>
      </c>
    </row>
    <row r="5" spans="1:5" x14ac:dyDescent="0.25">
      <c r="A5" s="21" t="s">
        <v>97</v>
      </c>
      <c r="B5" s="35">
        <v>1450</v>
      </c>
      <c r="C5" s="35">
        <v>3100</v>
      </c>
      <c r="D5" s="35">
        <v>7200</v>
      </c>
    </row>
    <row r="6" spans="1:5" x14ac:dyDescent="0.25">
      <c r="A6" s="21" t="s">
        <v>91</v>
      </c>
      <c r="B6" s="35">
        <f>SUM(B5,B4)</f>
        <v>15950</v>
      </c>
      <c r="C6" s="35">
        <f t="shared" ref="C6:D6" si="0">SUM(C5,C4)</f>
        <v>34100</v>
      </c>
      <c r="D6" s="35">
        <f t="shared" si="0"/>
        <v>79200</v>
      </c>
    </row>
    <row r="7" spans="1:5" s="31" customFormat="1" x14ac:dyDescent="0.25">
      <c r="B7" s="32"/>
      <c r="C7" s="32"/>
      <c r="D7" s="32"/>
    </row>
    <row r="8" spans="1:5" x14ac:dyDescent="0.25">
      <c r="A8" s="13" t="s">
        <v>110</v>
      </c>
      <c r="B8" s="3"/>
      <c r="C8" s="3"/>
      <c r="D8" s="3"/>
    </row>
    <row r="9" spans="1:5" x14ac:dyDescent="0.25">
      <c r="A9" s="8" t="s">
        <v>111</v>
      </c>
      <c r="B9" s="36">
        <v>0</v>
      </c>
      <c r="C9" s="36">
        <v>0</v>
      </c>
      <c r="D9" s="36">
        <v>0</v>
      </c>
    </row>
    <row r="10" spans="1:5" x14ac:dyDescent="0.25">
      <c r="A10" s="8" t="s">
        <v>112</v>
      </c>
      <c r="B10" s="4">
        <f>B9*B4</f>
        <v>0</v>
      </c>
      <c r="C10" s="4">
        <f t="shared" ref="C10:D10" si="1">C9*C4</f>
        <v>0</v>
      </c>
      <c r="D10" s="4">
        <f t="shared" si="1"/>
        <v>0</v>
      </c>
    </row>
    <row r="11" spans="1:5" x14ac:dyDescent="0.25">
      <c r="B11" s="6"/>
      <c r="C11" s="6"/>
      <c r="D11" s="6"/>
    </row>
    <row r="12" spans="1:5" x14ac:dyDescent="0.25">
      <c r="A12" s="13" t="s">
        <v>101</v>
      </c>
      <c r="B12" s="13"/>
      <c r="C12" s="13"/>
      <c r="D12" s="13"/>
    </row>
    <row r="13" spans="1:5" x14ac:dyDescent="0.25">
      <c r="A13" s="9" t="s">
        <v>95</v>
      </c>
      <c r="B13" s="9">
        <v>90</v>
      </c>
      <c r="C13" s="9">
        <v>390</v>
      </c>
      <c r="D13" s="9">
        <v>420</v>
      </c>
    </row>
    <row r="14" spans="1:5" x14ac:dyDescent="0.25">
      <c r="A14" s="9" t="s">
        <v>104</v>
      </c>
      <c r="B14" s="9">
        <v>35</v>
      </c>
      <c r="C14" s="9">
        <v>19</v>
      </c>
      <c r="D14" s="9">
        <v>17</v>
      </c>
    </row>
    <row r="15" spans="1:5" x14ac:dyDescent="0.25">
      <c r="A15" s="9" t="s">
        <v>102</v>
      </c>
      <c r="B15" s="12">
        <v>5.35</v>
      </c>
      <c r="C15" s="12">
        <v>5.35</v>
      </c>
      <c r="D15" s="12">
        <v>5.35</v>
      </c>
      <c r="E15" t="s">
        <v>105</v>
      </c>
    </row>
    <row r="16" spans="1:5" x14ac:dyDescent="0.25">
      <c r="A16" s="9" t="s">
        <v>103</v>
      </c>
      <c r="B16" s="12">
        <f>(B26/B14)*B15</f>
        <v>4585.7142857142853</v>
      </c>
      <c r="C16" s="12">
        <f t="shared" ref="C16:D16" si="2">(C26/C14)*C15</f>
        <v>8447.3684210526317</v>
      </c>
      <c r="D16" s="12">
        <f t="shared" si="2"/>
        <v>9441.1764705882342</v>
      </c>
    </row>
    <row r="18" spans="1:4" x14ac:dyDescent="0.25">
      <c r="A18" s="13" t="s">
        <v>100</v>
      </c>
      <c r="B18" s="13"/>
      <c r="C18" s="13"/>
      <c r="D18" s="13"/>
    </row>
    <row r="19" spans="1:4" x14ac:dyDescent="0.25">
      <c r="A19" s="10" t="s">
        <v>96</v>
      </c>
      <c r="B19" s="11">
        <v>1500</v>
      </c>
      <c r="C19" s="11">
        <v>2500</v>
      </c>
      <c r="D19" s="11">
        <v>3100</v>
      </c>
    </row>
    <row r="20" spans="1:4" x14ac:dyDescent="0.25">
      <c r="A20" s="10" t="s">
        <v>98</v>
      </c>
      <c r="B20" s="11">
        <v>210</v>
      </c>
      <c r="C20" s="11">
        <v>300</v>
      </c>
      <c r="D20" s="11">
        <v>450</v>
      </c>
    </row>
    <row r="21" spans="1:4" x14ac:dyDescent="0.25">
      <c r="A21" s="10" t="s">
        <v>101</v>
      </c>
      <c r="B21" s="11">
        <f>B16</f>
        <v>4585.7142857142853</v>
      </c>
      <c r="C21" s="11">
        <f t="shared" ref="C21:D21" si="3">C16</f>
        <v>8447.3684210526317</v>
      </c>
      <c r="D21" s="11">
        <f t="shared" si="3"/>
        <v>9441.1764705882342</v>
      </c>
    </row>
    <row r="22" spans="1:4" x14ac:dyDescent="0.25">
      <c r="A22" s="10" t="s">
        <v>36</v>
      </c>
      <c r="B22" s="11">
        <f>SUM(B21,B20,B19)</f>
        <v>6295.7142857142853</v>
      </c>
      <c r="C22" s="11">
        <f t="shared" ref="C22:D22" si="4">SUM(C21,C20,C19)</f>
        <v>11247.368421052632</v>
      </c>
      <c r="D22" s="11">
        <f t="shared" si="4"/>
        <v>12991.176470588234</v>
      </c>
    </row>
    <row r="23" spans="1:4" s="31" customFormat="1" x14ac:dyDescent="0.25">
      <c r="B23" s="32"/>
      <c r="C23" s="32"/>
      <c r="D23" s="32"/>
    </row>
    <row r="24" spans="1:4" x14ac:dyDescent="0.25">
      <c r="A24" s="13" t="s">
        <v>113</v>
      </c>
      <c r="B24" s="13"/>
      <c r="C24" s="13"/>
      <c r="D24" s="13"/>
    </row>
    <row r="25" spans="1:4" x14ac:dyDescent="0.25">
      <c r="A25" s="26" t="s">
        <v>99</v>
      </c>
      <c r="B25" s="26">
        <v>250000</v>
      </c>
      <c r="C25" s="26">
        <v>250000</v>
      </c>
      <c r="D25" s="26">
        <v>250000</v>
      </c>
    </row>
    <row r="26" spans="1:4" x14ac:dyDescent="0.25">
      <c r="A26" s="26" t="s">
        <v>106</v>
      </c>
      <c r="B26" s="26">
        <v>30000</v>
      </c>
      <c r="C26" s="26">
        <v>30000</v>
      </c>
      <c r="D26" s="26">
        <v>30000</v>
      </c>
    </row>
    <row r="27" spans="1:4" x14ac:dyDescent="0.25">
      <c r="A27" s="26" t="s">
        <v>107</v>
      </c>
      <c r="B27" s="37">
        <f>B25/B26</f>
        <v>8.3333333333333339</v>
      </c>
      <c r="C27" s="37">
        <f t="shared" ref="C27:D27" si="5">C25/C26</f>
        <v>8.3333333333333339</v>
      </c>
      <c r="D27" s="37">
        <f t="shared" si="5"/>
        <v>8.3333333333333339</v>
      </c>
    </row>
    <row r="29" spans="1:4" x14ac:dyDescent="0.25">
      <c r="A29" s="13" t="s">
        <v>88</v>
      </c>
      <c r="B29" s="13"/>
      <c r="C29" s="13"/>
      <c r="D29" s="13"/>
    </row>
    <row r="30" spans="1:4" x14ac:dyDescent="0.25">
      <c r="A30" s="1"/>
      <c r="B30" s="1" t="s">
        <v>92</v>
      </c>
      <c r="C30" s="1" t="s">
        <v>93</v>
      </c>
      <c r="D30" s="1" t="s">
        <v>94</v>
      </c>
    </row>
    <row r="31" spans="1:4" x14ac:dyDescent="0.25">
      <c r="A31" s="1" t="s">
        <v>36</v>
      </c>
      <c r="B31" s="15">
        <f>(B27*B22)+B6+B10</f>
        <v>68414.28571428571</v>
      </c>
      <c r="C31" s="15">
        <f t="shared" ref="C31:D31" si="6">(C27*C22)+C6+C10</f>
        <v>127828.07017543861</v>
      </c>
      <c r="D31" s="15">
        <f t="shared" si="6"/>
        <v>187459.80392156861</v>
      </c>
    </row>
    <row r="33" spans="1:4" s="19" customFormat="1" x14ac:dyDescent="0.25">
      <c r="A33" s="19" t="s">
        <v>20</v>
      </c>
    </row>
    <row r="34" spans="1:4" x14ac:dyDescent="0.25">
      <c r="A34" s="13" t="s">
        <v>108</v>
      </c>
      <c r="B34" s="13"/>
      <c r="C34" s="13"/>
      <c r="D34" s="13"/>
    </row>
    <row r="35" spans="1:4" x14ac:dyDescent="0.25">
      <c r="A35" s="21"/>
      <c r="B35" s="21" t="s">
        <v>92</v>
      </c>
      <c r="C35" s="21" t="s">
        <v>93</v>
      </c>
      <c r="D35" s="21" t="s">
        <v>94</v>
      </c>
    </row>
    <row r="36" spans="1:4" x14ac:dyDescent="0.25">
      <c r="A36" s="21" t="s">
        <v>109</v>
      </c>
      <c r="B36" s="35">
        <v>14500</v>
      </c>
      <c r="C36" s="35">
        <v>31000</v>
      </c>
      <c r="D36" s="35">
        <v>72000</v>
      </c>
    </row>
    <row r="37" spans="1:4" x14ac:dyDescent="0.25">
      <c r="A37" s="21" t="s">
        <v>97</v>
      </c>
      <c r="B37" s="35">
        <v>1450</v>
      </c>
      <c r="C37" s="35">
        <v>3100</v>
      </c>
      <c r="D37" s="35">
        <v>7200</v>
      </c>
    </row>
    <row r="38" spans="1:4" x14ac:dyDescent="0.25">
      <c r="A38" s="21" t="s">
        <v>91</v>
      </c>
      <c r="B38" s="35">
        <f>SUM(B37,B36)</f>
        <v>15950</v>
      </c>
      <c r="C38" s="35">
        <f t="shared" ref="C38" si="7">SUM(C37,C36)</f>
        <v>34100</v>
      </c>
      <c r="D38" s="35">
        <f t="shared" ref="D38" si="8">SUM(D37,D36)</f>
        <v>79200</v>
      </c>
    </row>
    <row r="39" spans="1:4" x14ac:dyDescent="0.25">
      <c r="A39" s="31"/>
      <c r="B39" s="32"/>
      <c r="C39" s="32"/>
      <c r="D39" s="32"/>
    </row>
    <row r="40" spans="1:4" x14ac:dyDescent="0.25">
      <c r="A40" s="13" t="s">
        <v>110</v>
      </c>
      <c r="B40" s="3"/>
      <c r="C40" s="3"/>
      <c r="D40" s="3"/>
    </row>
    <row r="41" spans="1:4" x14ac:dyDescent="0.25">
      <c r="A41" s="8" t="s">
        <v>111</v>
      </c>
      <c r="B41" s="36">
        <v>0.4</v>
      </c>
      <c r="C41" s="36">
        <v>0.4</v>
      </c>
      <c r="D41" s="36">
        <v>0.4</v>
      </c>
    </row>
    <row r="42" spans="1:4" x14ac:dyDescent="0.25">
      <c r="A42" s="8" t="s">
        <v>112</v>
      </c>
      <c r="B42" s="4">
        <f>B41*B36</f>
        <v>5800</v>
      </c>
      <c r="C42" s="4">
        <f t="shared" ref="C42:D42" si="9">C41*C36</f>
        <v>12400</v>
      </c>
      <c r="D42" s="4">
        <f t="shared" si="9"/>
        <v>28800</v>
      </c>
    </row>
    <row r="43" spans="1:4" x14ac:dyDescent="0.25">
      <c r="B43" s="6"/>
      <c r="C43" s="6"/>
      <c r="D43" s="6"/>
    </row>
    <row r="44" spans="1:4" x14ac:dyDescent="0.25">
      <c r="A44" s="13" t="s">
        <v>101</v>
      </c>
      <c r="B44" s="13"/>
      <c r="C44" s="13"/>
      <c r="D44" s="13"/>
    </row>
    <row r="45" spans="1:4" x14ac:dyDescent="0.25">
      <c r="A45" s="9" t="s">
        <v>95</v>
      </c>
      <c r="B45" s="9">
        <v>90</v>
      </c>
      <c r="C45" s="9">
        <v>390</v>
      </c>
      <c r="D45" s="9">
        <v>420</v>
      </c>
    </row>
    <row r="46" spans="1:4" x14ac:dyDescent="0.25">
      <c r="A46" s="9" t="s">
        <v>104</v>
      </c>
      <c r="B46" s="9">
        <v>35</v>
      </c>
      <c r="C46" s="9">
        <v>19</v>
      </c>
      <c r="D46" s="9">
        <v>17</v>
      </c>
    </row>
    <row r="47" spans="1:4" x14ac:dyDescent="0.25">
      <c r="A47" s="9" t="s">
        <v>102</v>
      </c>
      <c r="B47" s="12">
        <v>5.35</v>
      </c>
      <c r="C47" s="12">
        <v>5.35</v>
      </c>
      <c r="D47" s="12">
        <v>5.35</v>
      </c>
    </row>
    <row r="48" spans="1:4" x14ac:dyDescent="0.25">
      <c r="A48" s="9" t="s">
        <v>103</v>
      </c>
      <c r="B48" s="12">
        <f>(B58/B46)*B47</f>
        <v>4585.7142857142853</v>
      </c>
      <c r="C48" s="12">
        <f t="shared" ref="C48" si="10">(C58/C46)*C47</f>
        <v>8447.3684210526317</v>
      </c>
      <c r="D48" s="12">
        <f t="shared" ref="D48" si="11">(D58/D46)*D47</f>
        <v>9441.1764705882342</v>
      </c>
    </row>
    <row r="50" spans="1:4" x14ac:dyDescent="0.25">
      <c r="A50" s="13" t="s">
        <v>100</v>
      </c>
      <c r="B50" s="13"/>
      <c r="C50" s="13"/>
      <c r="D50" s="13"/>
    </row>
    <row r="51" spans="1:4" x14ac:dyDescent="0.25">
      <c r="A51" s="10" t="s">
        <v>96</v>
      </c>
      <c r="B51" s="11">
        <v>1500</v>
      </c>
      <c r="C51" s="11">
        <v>2500</v>
      </c>
      <c r="D51" s="11">
        <v>3100</v>
      </c>
    </row>
    <row r="52" spans="1:4" x14ac:dyDescent="0.25">
      <c r="A52" s="10" t="s">
        <v>98</v>
      </c>
      <c r="B52" s="11">
        <v>210</v>
      </c>
      <c r="C52" s="11">
        <v>300</v>
      </c>
      <c r="D52" s="11">
        <v>450</v>
      </c>
    </row>
    <row r="53" spans="1:4" x14ac:dyDescent="0.25">
      <c r="A53" s="10" t="s">
        <v>101</v>
      </c>
      <c r="B53" s="11">
        <f>B48</f>
        <v>4585.7142857142853</v>
      </c>
      <c r="C53" s="11">
        <f t="shared" ref="C53:D53" si="12">C48</f>
        <v>8447.3684210526317</v>
      </c>
      <c r="D53" s="11">
        <f t="shared" si="12"/>
        <v>9441.1764705882342</v>
      </c>
    </row>
    <row r="54" spans="1:4" x14ac:dyDescent="0.25">
      <c r="A54" s="10" t="s">
        <v>36</v>
      </c>
      <c r="B54" s="11">
        <f>SUM(B53,B52,B51)</f>
        <v>6295.7142857142853</v>
      </c>
      <c r="C54" s="11">
        <f t="shared" ref="C54" si="13">SUM(C53,C52,C51)</f>
        <v>11247.368421052632</v>
      </c>
      <c r="D54" s="11">
        <f t="shared" ref="D54" si="14">SUM(D53,D52,D51)</f>
        <v>12991.176470588234</v>
      </c>
    </row>
    <row r="55" spans="1:4" x14ac:dyDescent="0.25">
      <c r="A55" s="31"/>
      <c r="B55" s="32"/>
      <c r="C55" s="32"/>
      <c r="D55" s="32"/>
    </row>
    <row r="56" spans="1:4" x14ac:dyDescent="0.25">
      <c r="A56" s="13" t="s">
        <v>113</v>
      </c>
      <c r="B56" s="13"/>
      <c r="C56" s="13"/>
      <c r="D56" s="13"/>
    </row>
    <row r="57" spans="1:4" x14ac:dyDescent="0.25">
      <c r="A57" s="26" t="s">
        <v>99</v>
      </c>
      <c r="B57" s="26">
        <v>250000</v>
      </c>
      <c r="C57" s="26">
        <v>250000</v>
      </c>
      <c r="D57" s="26">
        <v>250000</v>
      </c>
    </row>
    <row r="58" spans="1:4" x14ac:dyDescent="0.25">
      <c r="A58" s="26" t="s">
        <v>106</v>
      </c>
      <c r="B58" s="26">
        <v>30000</v>
      </c>
      <c r="C58" s="26">
        <v>30000</v>
      </c>
      <c r="D58" s="26">
        <v>30000</v>
      </c>
    </row>
    <row r="59" spans="1:4" x14ac:dyDescent="0.25">
      <c r="A59" s="26" t="s">
        <v>107</v>
      </c>
      <c r="B59" s="37">
        <f>B57/B58</f>
        <v>8.3333333333333339</v>
      </c>
      <c r="C59" s="37">
        <f t="shared" ref="C59" si="15">C57/C58</f>
        <v>8.3333333333333339</v>
      </c>
      <c r="D59" s="37">
        <f t="shared" ref="D59" si="16">D57/D58</f>
        <v>8.3333333333333339</v>
      </c>
    </row>
    <row r="61" spans="1:4" x14ac:dyDescent="0.25">
      <c r="A61" s="13" t="s">
        <v>88</v>
      </c>
      <c r="B61" s="13"/>
      <c r="C61" s="13"/>
      <c r="D61" s="13"/>
    </row>
    <row r="62" spans="1:4" x14ac:dyDescent="0.25">
      <c r="A62" s="1"/>
      <c r="B62" s="1" t="s">
        <v>92</v>
      </c>
      <c r="C62" s="1" t="s">
        <v>93</v>
      </c>
      <c r="D62" s="1" t="s">
        <v>94</v>
      </c>
    </row>
    <row r="63" spans="1:4" x14ac:dyDescent="0.25">
      <c r="A63" s="1" t="s">
        <v>36</v>
      </c>
      <c r="B63" s="15">
        <f>(B59*B54)+B38+B42</f>
        <v>74214.28571428571</v>
      </c>
      <c r="C63" s="15">
        <f t="shared" ref="C63:D63" si="17">(C59*C54)+C38+C42</f>
        <v>140228.0701754386</v>
      </c>
      <c r="D63" s="15">
        <f t="shared" si="17"/>
        <v>216259.80392156861</v>
      </c>
    </row>
  </sheetData>
  <conditionalFormatting sqref="B31:D31">
    <cfRule type="iconSet" priority="4">
      <iconSet iconSet="3Symbols" reverse="1">
        <cfvo type="percent" val="0"/>
        <cfvo type="percent" val="33"/>
        <cfvo type="percent" val="67"/>
      </iconSet>
    </cfRule>
    <cfRule type="iconSet" priority="6">
      <iconSet iconSet="3Symbols">
        <cfvo type="percent" val="0"/>
        <cfvo type="percent" val="33"/>
        <cfvo type="percent" val="67"/>
      </iconSet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3:D63">
    <cfRule type="iconSet" priority="1">
      <iconSet iconSet="3Symbols" reverse="1">
        <cfvo type="percent" val="0"/>
        <cfvo type="percent" val="33"/>
        <cfvo type="percent" val="67"/>
      </iconSet>
    </cfRule>
    <cfRule type="iconSet" priority="2">
      <iconSet iconSet="3Symbols">
        <cfvo type="percent" val="0"/>
        <cfvo type="percent" val="33"/>
        <cfvo type="percent" val="67"/>
      </iconSet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SchoolShopping</vt:lpstr>
      <vt:lpstr>Humane Society Pets Adoption</vt:lpstr>
      <vt:lpstr>3vacations</vt:lpstr>
      <vt:lpstr>printerCost</vt:lpstr>
      <vt:lpstr>phone bill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Kwago Hoot</dc:creator>
  <cp:lastModifiedBy>Kwago Hoot</cp:lastModifiedBy>
  <dcterms:created xsi:type="dcterms:W3CDTF">2026-07-26T07:00:07Z</dcterms:created>
  <dcterms:modified xsi:type="dcterms:W3CDTF">2026-07-27T09:56:19Z</dcterms:modified>
</cp:coreProperties>
</file>